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P3\BEDAH DAPIL 2026 KAB. BEKASI\"/>
    </mc:Choice>
  </mc:AlternateContent>
  <xr:revisionPtr revIDLastSave="0" documentId="13_ncr:1_{84725E95-3806-4EF9-A9FA-ED413CE7794E}" xr6:coauthVersionLast="47" xr6:coauthVersionMax="47" xr10:uidLastSave="{00000000-0000-0000-0000-000000000000}"/>
  <bookViews>
    <workbookView xWindow="-108" yWindow="-108" windowWidth="19416" windowHeight="11016" xr2:uid="{AFFB73D0-D441-457E-A621-011333EA3B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3" i="1" l="1"/>
  <c r="K211" i="1"/>
  <c r="K202" i="1"/>
  <c r="K224" i="1" s="1"/>
  <c r="K193" i="1"/>
  <c r="K185" i="1"/>
  <c r="K171" i="1"/>
  <c r="K163" i="1"/>
  <c r="K154" i="1"/>
  <c r="K194" i="1" s="1"/>
  <c r="K144" i="1"/>
  <c r="K135" i="1"/>
  <c r="K128" i="1"/>
  <c r="K145" i="1" s="1"/>
  <c r="K117" i="1"/>
  <c r="K108" i="1"/>
  <c r="K100" i="1"/>
  <c r="K92" i="1"/>
  <c r="K118" i="1" s="1"/>
  <c r="K84" i="1"/>
  <c r="K83" i="1"/>
  <c r="K72" i="1"/>
  <c r="K59" i="1"/>
  <c r="K51" i="1"/>
  <c r="K225" i="1" s="1"/>
  <c r="K50" i="1"/>
  <c r="K38" i="1"/>
  <c r="K29" i="1"/>
  <c r="K22" i="1"/>
  <c r="K14" i="1"/>
</calcChain>
</file>

<file path=xl/sharedStrings.xml><?xml version="1.0" encoding="utf-8"?>
<sst xmlns="http://schemas.openxmlformats.org/spreadsheetml/2006/main" count="375" uniqueCount="245">
  <si>
    <t>KECAMATAN</t>
  </si>
  <si>
    <t>DESA/KELURAHAN</t>
  </si>
  <si>
    <t>PILEG DPRD KABUPATEN BEKASI 2024</t>
  </si>
  <si>
    <t>TARGET SUARA PKS 2029</t>
  </si>
  <si>
    <t>TARGET PEMBENTUKAN SEL MIKRO INFRASTRUKTUR PEMENANGAN PILEG 2029 PKS KAB. BEKASI</t>
  </si>
  <si>
    <t>KORWE</t>
  </si>
  <si>
    <t>KORTE</t>
  </si>
  <si>
    <t>(BPS 2024)</t>
  </si>
  <si>
    <t>TPS</t>
  </si>
  <si>
    <t>DPT</t>
  </si>
  <si>
    <t>SUARA PKS</t>
  </si>
  <si>
    <r>
      <t xml:space="preserve">DESA </t>
    </r>
    <r>
      <rPr>
        <b/>
        <sz val="9"/>
        <color theme="0"/>
        <rFont val="Calibri"/>
        <family val="2"/>
        <scheme val="minor"/>
      </rPr>
      <t>(NAIK 50,30%)</t>
    </r>
  </si>
  <si>
    <t>TARGET RATA-RATA</t>
  </si>
  <si>
    <t>RW</t>
  </si>
  <si>
    <t>RT</t>
  </si>
  <si>
    <t>JUMLAH</t>
  </si>
  <si>
    <t>RK.</t>
  </si>
  <si>
    <t>%</t>
  </si>
  <si>
    <t>SUARA</t>
  </si>
  <si>
    <t>KURANG</t>
  </si>
  <si>
    <t>RMH/RT</t>
  </si>
  <si>
    <t>BOJONGMANGU</t>
  </si>
  <si>
    <t>KARANGINDAH</t>
  </si>
  <si>
    <t>KARANGMULYA</t>
  </si>
  <si>
    <t>MEDALKRISNA</t>
  </si>
  <si>
    <t>SUKABUNGAH</t>
  </si>
  <si>
    <t>SUKAMUKTI</t>
  </si>
  <si>
    <t>TOTAL</t>
  </si>
  <si>
    <t>CIBARUSAH</t>
  </si>
  <si>
    <t>CIBARUSAH JAYA</t>
  </si>
  <si>
    <t>CIBARUSAH KOTA</t>
  </si>
  <si>
    <t>RIDOGALIH</t>
  </si>
  <si>
    <t>RIDOMANAH</t>
  </si>
  <si>
    <t>SINDANGMULYA</t>
  </si>
  <si>
    <t>SIRNAJATI</t>
  </si>
  <si>
    <t>WIBAWAMULYA</t>
  </si>
  <si>
    <t>CIKARANG PUSAT</t>
  </si>
  <si>
    <t>CICAU</t>
  </si>
  <si>
    <t>HEGARMUKTI</t>
  </si>
  <si>
    <t>JAYAMUKTI</t>
  </si>
  <si>
    <t>PASIRANJI</t>
  </si>
  <si>
    <t>PASIRTANJUNG</t>
  </si>
  <si>
    <t>SUKAMAHI</t>
  </si>
  <si>
    <t>SERANG BARU</t>
  </si>
  <si>
    <t>CILANGKARA</t>
  </si>
  <si>
    <t>JAYAMULYA</t>
  </si>
  <si>
    <t>JAYASAMPURNA</t>
  </si>
  <si>
    <t>NAGACIPTA</t>
  </si>
  <si>
    <t>NAGASARI</t>
  </si>
  <si>
    <t>SIRNAJAYA</t>
  </si>
  <si>
    <t>SUKARAGAM</t>
  </si>
  <si>
    <t>SUKASARI</t>
  </si>
  <si>
    <t>SETU</t>
  </si>
  <si>
    <t>BURANGKENG</t>
  </si>
  <si>
    <t>CIBENING</t>
  </si>
  <si>
    <t>CIJENGKOL</t>
  </si>
  <si>
    <t>CIKARAGEMAN</t>
  </si>
  <si>
    <t>CILEDUG</t>
  </si>
  <si>
    <t>KERTARAHAYU</t>
  </si>
  <si>
    <t>LUBANGBUAYA</t>
  </si>
  <si>
    <t>MUKTIJAYA</t>
  </si>
  <si>
    <t>RAGEMANUNGGAL</t>
  </si>
  <si>
    <t>TAMAN RAHAYU</t>
  </si>
  <si>
    <t>TAMAN SARI</t>
  </si>
  <si>
    <t>TOTAL DAPIL 1</t>
  </si>
  <si>
    <t>CIBITUNG</t>
  </si>
  <si>
    <t>CIBUNTU</t>
  </si>
  <si>
    <t>KERTAMUKTI</t>
  </si>
  <si>
    <t>MUKTIWARI</t>
  </si>
  <si>
    <t>SARIMUKTI</t>
  </si>
  <si>
    <t>SUKAJAYA</t>
  </si>
  <si>
    <t>WANAJAYA</t>
  </si>
  <si>
    <t>WANASARI</t>
  </si>
  <si>
    <t>CIKARANG BARAT</t>
  </si>
  <si>
    <t>CIKEDOKAN</t>
  </si>
  <si>
    <t>DANAU INDAH</t>
  </si>
  <si>
    <t>GANDAMEKAR</t>
  </si>
  <si>
    <t>GANDASARI</t>
  </si>
  <si>
    <t>JATIWANGI</t>
  </si>
  <si>
    <t>KALIJAYA</t>
  </si>
  <si>
    <t>MEKARWANGI</t>
  </si>
  <si>
    <t>SUKADANAU</t>
  </si>
  <si>
    <t>TELAGA ASIH</t>
  </si>
  <si>
    <t>TELAGAMURNI</t>
  </si>
  <si>
    <t>TELAJUNG</t>
  </si>
  <si>
    <t>TOTAL DAPIL 2</t>
  </si>
  <si>
    <t>TAMBUN SELATAN</t>
  </si>
  <si>
    <t>JATIMULYA</t>
  </si>
  <si>
    <t>LAMBANGJAYA</t>
  </si>
  <si>
    <t>LAMBANGSARI</t>
  </si>
  <si>
    <t>MANGUNJAYA</t>
  </si>
  <si>
    <t>MEKARSARI</t>
  </si>
  <si>
    <t>SETIADARMA</t>
  </si>
  <si>
    <t>SETIAMEKAR</t>
  </si>
  <si>
    <t>SUMBERJAYA</t>
  </si>
  <si>
    <t>TAMBUN</t>
  </si>
  <si>
    <t>TRIDAYA SAKTI</t>
  </si>
  <si>
    <t>TOTAL DAPIL 3</t>
  </si>
  <si>
    <t>SUKATANI</t>
  </si>
  <si>
    <t>BANJARSARI</t>
  </si>
  <si>
    <t>SUKAASIH</t>
  </si>
  <si>
    <t>SUKADARMA</t>
  </si>
  <si>
    <t>SUKAHURIP</t>
  </si>
  <si>
    <t>SUKAMANAH</t>
  </si>
  <si>
    <t>SUKAMULYA</t>
  </si>
  <si>
    <t>SUKARUKUN</t>
  </si>
  <si>
    <t>SUKAWANGI</t>
  </si>
  <si>
    <t>SUKABUDI</t>
  </si>
  <si>
    <t>SUKADAYA</t>
  </si>
  <si>
    <t>SUKAKERTA</t>
  </si>
  <si>
    <t>SUKAMEKAR</t>
  </si>
  <si>
    <t>SUKARINGIN</t>
  </si>
  <si>
    <t>SUKATENANG</t>
  </si>
  <si>
    <t>TAMBELANG</t>
  </si>
  <si>
    <t>SUKABAKTI</t>
  </si>
  <si>
    <t>SUKAMAJU</t>
  </si>
  <si>
    <t>SUKAMANTRI</t>
  </si>
  <si>
    <t>SUKARAHAYU</t>
  </si>
  <si>
    <t>SUKARAJA</t>
  </si>
  <si>
    <t>SUKARAPIH</t>
  </si>
  <si>
    <t>SUKAWIJAYA</t>
  </si>
  <si>
    <t>TAMBUN UTARA</t>
  </si>
  <si>
    <t>JEJALENJAYA</t>
  </si>
  <si>
    <t>KARANGSATRIA</t>
  </si>
  <si>
    <t>SATRIAJAYA</t>
  </si>
  <si>
    <t>SATRIAMEKAR</t>
  </si>
  <si>
    <t>SRIAMUR</t>
  </si>
  <si>
    <t>SRIJAYA</t>
  </si>
  <si>
    <t>SRIMAHI</t>
  </si>
  <si>
    <t>SRIMUKTI</t>
  </si>
  <si>
    <t>TOTAL DAPIL 4</t>
  </si>
  <si>
    <t>BABELAN</t>
  </si>
  <si>
    <t>BABELANKOTA</t>
  </si>
  <si>
    <t>BAHAGIA</t>
  </si>
  <si>
    <t>BUNIBAKTI</t>
  </si>
  <si>
    <t>HURIP JAYA</t>
  </si>
  <si>
    <t>KEBALEN</t>
  </si>
  <si>
    <t>KEDUNG PENGAWAS</t>
  </si>
  <si>
    <t>KEDUNGJAYA</t>
  </si>
  <si>
    <t>MUARABAKTI</t>
  </si>
  <si>
    <t>PANTAIHURIP</t>
  </si>
  <si>
    <t>MUARAGEMBONG</t>
  </si>
  <si>
    <t>JAYASAKTI</t>
  </si>
  <si>
    <t>PANTAI BAHAGIA</t>
  </si>
  <si>
    <t>PANTAI BAKTI</t>
  </si>
  <si>
    <t>PANTAI HARAPANJAYA</t>
  </si>
  <si>
    <t>PANTAI MEKAR</t>
  </si>
  <si>
    <t>PANTAI SEDERHANA</t>
  </si>
  <si>
    <t>TARUMAJAYA</t>
  </si>
  <si>
    <t>PAHLAWAN SETIA</t>
  </si>
  <si>
    <t>PANTAI MAKMUR</t>
  </si>
  <si>
    <t>PUSAKA RAKYAT</t>
  </si>
  <si>
    <t>SAGARA MAKMUR</t>
  </si>
  <si>
    <t>SAMUDRA JAYA</t>
  </si>
  <si>
    <t>SEGARAJAYA</t>
  </si>
  <si>
    <t>SETIA ASIH</t>
  </si>
  <si>
    <t>SETIA MULYA</t>
  </si>
  <si>
    <t>TOTAL DAPIL 5</t>
  </si>
  <si>
    <t>CABANGBUNGIN</t>
  </si>
  <si>
    <t>JAYABAKTI</t>
  </si>
  <si>
    <t>JAYALAKSANA</t>
  </si>
  <si>
    <t>LENGGAHJAYA</t>
  </si>
  <si>
    <t>LENGGAHSARI</t>
  </si>
  <si>
    <t>SETIAJAYA</t>
  </si>
  <si>
    <t>SETIALAKSANA</t>
  </si>
  <si>
    <t>SINDANGJAYA</t>
  </si>
  <si>
    <t>SINDANGSARI</t>
  </si>
  <si>
    <t>KARANG BAHAGIA</t>
  </si>
  <si>
    <t>KARANGANYAR</t>
  </si>
  <si>
    <t>KARANGBAHAGIA</t>
  </si>
  <si>
    <t>KARANGMUKTI</t>
  </si>
  <si>
    <t>KARANGRAHAYU</t>
  </si>
  <si>
    <t>KARANGSATU</t>
  </si>
  <si>
    <t>KARANGSENTOSA</t>
  </si>
  <si>
    <t>KARANGSETIA</t>
  </si>
  <si>
    <t>SUKARAYA</t>
  </si>
  <si>
    <t>KEDUNG WARINGIN</t>
  </si>
  <si>
    <t>BOJONGSARI</t>
  </si>
  <si>
    <t>KARANGHARUM</t>
  </si>
  <si>
    <t>KARANGMEKAR</t>
  </si>
  <si>
    <t>KARANGSAMBUNG</t>
  </si>
  <si>
    <t>KEDUNGWARINGIN</t>
  </si>
  <si>
    <t>MEKARJAYA</t>
  </si>
  <si>
    <t>WARINGINJAYA</t>
  </si>
  <si>
    <t>PEBAYURAN</t>
  </si>
  <si>
    <t>BANTARJAYA</t>
  </si>
  <si>
    <t>BANTARSARI</t>
  </si>
  <si>
    <t>KARANGHARJA</t>
  </si>
  <si>
    <t>KARANGHAUR</t>
  </si>
  <si>
    <t>KARANGJAYA</t>
  </si>
  <si>
    <t>KARANGPATRI</t>
  </si>
  <si>
    <t>KARANGREJA</t>
  </si>
  <si>
    <t>KARANGSEGAR</t>
  </si>
  <si>
    <t>KERTAJAYA</t>
  </si>
  <si>
    <t>KERTASARI</t>
  </si>
  <si>
    <t>SUMBEREJA</t>
  </si>
  <si>
    <t>SUMBERSARI</t>
  </si>
  <si>
    <t>SUMBERURIP</t>
  </si>
  <si>
    <t>SUKAKARYA</t>
  </si>
  <si>
    <t>SUKAINDAH</t>
  </si>
  <si>
    <t>SUKAJADI</t>
  </si>
  <si>
    <t>SUKAKARSA</t>
  </si>
  <si>
    <t>SUKALAKSANA</t>
  </si>
  <si>
    <t>SUKAMAKMUR</t>
  </si>
  <si>
    <t>SUKAMURNI</t>
  </si>
  <si>
    <t>TOTAL DAPIL 6</t>
  </si>
  <si>
    <t>CIKARANG SELATAN</t>
  </si>
  <si>
    <t>CIANTRA</t>
  </si>
  <si>
    <t>CIBATU</t>
  </si>
  <si>
    <t>PASIRSARI</t>
  </si>
  <si>
    <t>SERANG</t>
  </si>
  <si>
    <t>SUKADAMI</t>
  </si>
  <si>
    <t>SUKARESMI</t>
  </si>
  <si>
    <t>SUKASEJATI</t>
  </si>
  <si>
    <t>CIKARANG TIMUR</t>
  </si>
  <si>
    <t>CIPAYUNG</t>
  </si>
  <si>
    <t>HEGARMANAH</t>
  </si>
  <si>
    <t>JATIBARU</t>
  </si>
  <si>
    <t>JATIREJA</t>
  </si>
  <si>
    <t>KARANGSARI</t>
  </si>
  <si>
    <t>LABANSARI</t>
  </si>
  <si>
    <t>SERTAJAYA</t>
  </si>
  <si>
    <t>TANJUNGBARU</t>
  </si>
  <si>
    <t>CIKARANG UTARA</t>
  </si>
  <si>
    <t>CIKARANGKOTA</t>
  </si>
  <si>
    <t>HARJAMEKAR</t>
  </si>
  <si>
    <t>KARANGASIH</t>
  </si>
  <si>
    <t>KARANGBARU</t>
  </si>
  <si>
    <t>KARANGRAHARJA</t>
  </si>
  <si>
    <t>MEKARMUKTI</t>
  </si>
  <si>
    <t>PASIRGOMBONG</t>
  </si>
  <si>
    <t>SIMPANGAN</t>
  </si>
  <si>
    <t>TANJUNGSARI</t>
  </si>
  <si>
    <t>WALUYA</t>
  </si>
  <si>
    <t>WANGUNHARJA</t>
  </si>
  <si>
    <t>TOTAL DAPIL 7</t>
  </si>
  <si>
    <t>DAPIL</t>
  </si>
  <si>
    <t>DAPIL 1</t>
  </si>
  <si>
    <t>DAPIL 2</t>
  </si>
  <si>
    <t>DAPIL 3</t>
  </si>
  <si>
    <t>DAPIL 4</t>
  </si>
  <si>
    <t>DAPIL 5</t>
  </si>
  <si>
    <t>DAPIL 6</t>
  </si>
  <si>
    <t>DAPIL 7</t>
  </si>
  <si>
    <t>TOTAL DAPIL 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</si>
</sst>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_ ;\-#,##0\ "/>
    <numFmt numFmtId="165" formatCode="#,##0.00_ ;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1" applyNumberFormat="1" applyFont="1" applyBorder="1" applyAlignment="1">
      <alignment horizontal="center" vertical="center"/>
    </xf>
    <xf numFmtId="0" fontId="2" fillId="3" borderId="20" xfId="1" applyNumberFormat="1" applyFont="1" applyFill="1" applyBorder="1" applyAlignment="1">
      <alignment horizontal="center" vertical="center"/>
    </xf>
    <xf numFmtId="0" fontId="2" fillId="3" borderId="21" xfId="1" applyNumberFormat="1" applyFont="1" applyFill="1" applyBorder="1" applyAlignment="1">
      <alignment horizontal="center" vertical="center"/>
    </xf>
    <xf numFmtId="0" fontId="2" fillId="3" borderId="22" xfId="1" applyNumberFormat="1" applyFont="1" applyFill="1" applyBorder="1" applyAlignment="1">
      <alignment horizontal="center" vertical="center"/>
    </xf>
    <xf numFmtId="9" fontId="3" fillId="0" borderId="0" xfId="1" applyNumberFormat="1" applyFont="1" applyBorder="1" applyAlignment="1">
      <alignment horizontal="center"/>
    </xf>
    <xf numFmtId="164" fontId="2" fillId="2" borderId="25" xfId="1" applyNumberFormat="1" applyFont="1" applyFill="1" applyBorder="1" applyAlignment="1">
      <alignment horizontal="center" vertical="center"/>
    </xf>
    <xf numFmtId="164" fontId="2" fillId="2" borderId="26" xfId="1" applyNumberFormat="1" applyFont="1" applyFill="1" applyBorder="1" applyAlignment="1">
      <alignment horizontal="center" vertical="center"/>
    </xf>
    <xf numFmtId="41" fontId="5" fillId="2" borderId="25" xfId="1" applyFont="1" applyFill="1" applyBorder="1" applyAlignment="1">
      <alignment horizontal="center" vertical="center" wrapText="1"/>
    </xf>
    <xf numFmtId="41" fontId="5" fillId="2" borderId="27" xfId="1" applyFont="1" applyFill="1" applyBorder="1" applyAlignment="1">
      <alignment horizontal="center" vertical="center" wrapText="1"/>
    </xf>
    <xf numFmtId="41" fontId="5" fillId="2" borderId="26" xfId="1" applyFont="1" applyFill="1" applyBorder="1" applyAlignment="1">
      <alignment horizontal="center" vertical="center" wrapText="1"/>
    </xf>
    <xf numFmtId="41" fontId="5" fillId="2" borderId="28" xfId="1" applyFont="1" applyFill="1" applyBorder="1" applyAlignment="1">
      <alignment horizontal="center" vertical="center" wrapText="1"/>
    </xf>
    <xf numFmtId="164" fontId="5" fillId="2" borderId="26" xfId="1" applyNumberFormat="1" applyFont="1" applyFill="1" applyBorder="1" applyAlignment="1">
      <alignment horizontal="center" wrapText="1"/>
    </xf>
    <xf numFmtId="9" fontId="2" fillId="2" borderId="29" xfId="1" applyNumberFormat="1" applyFont="1" applyFill="1" applyBorder="1" applyAlignment="1">
      <alignment horizontal="center"/>
    </xf>
    <xf numFmtId="9" fontId="2" fillId="2" borderId="30" xfId="1" applyNumberFormat="1" applyFont="1" applyFill="1" applyBorder="1" applyAlignment="1">
      <alignment horizontal="center"/>
    </xf>
    <xf numFmtId="9" fontId="2" fillId="2" borderId="31" xfId="1" applyNumberFormat="1" applyFont="1" applyFill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0" fillId="5" borderId="33" xfId="0" applyFill="1" applyBorder="1" applyAlignment="1">
      <alignment horizontal="center"/>
    </xf>
    <xf numFmtId="164" fontId="6" fillId="5" borderId="32" xfId="1" applyNumberFormat="1" applyFont="1" applyFill="1" applyBorder="1" applyAlignment="1">
      <alignment horizontal="center" vertical="top"/>
    </xf>
    <xf numFmtId="164" fontId="6" fillId="5" borderId="34" xfId="1" applyNumberFormat="1" applyFont="1" applyFill="1" applyBorder="1" applyAlignment="1">
      <alignment horizontal="center" vertical="top"/>
    </xf>
    <xf numFmtId="164" fontId="0" fillId="5" borderId="35" xfId="1" applyNumberFormat="1" applyFont="1" applyFill="1" applyBorder="1" applyAlignment="1">
      <alignment horizontal="center"/>
    </xf>
    <xf numFmtId="164" fontId="0" fillId="5" borderId="36" xfId="1" applyNumberFormat="1" applyFont="1" applyFill="1" applyBorder="1" applyAlignment="1">
      <alignment horizontal="center"/>
    </xf>
    <xf numFmtId="164" fontId="0" fillId="5" borderId="37" xfId="1" applyNumberFormat="1" applyFont="1" applyFill="1" applyBorder="1" applyAlignment="1">
      <alignment horizontal="center"/>
    </xf>
    <xf numFmtId="10" fontId="0" fillId="5" borderId="34" xfId="2" applyNumberFormat="1" applyFont="1" applyFill="1" applyBorder="1" applyAlignment="1">
      <alignment horizontal="center"/>
    </xf>
    <xf numFmtId="164" fontId="0" fillId="5" borderId="38" xfId="1" applyNumberFormat="1" applyFont="1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164" fontId="0" fillId="5" borderId="32" xfId="1" applyNumberFormat="1" applyFont="1" applyFill="1" applyBorder="1" applyAlignment="1">
      <alignment horizontal="center"/>
    </xf>
    <xf numFmtId="164" fontId="0" fillId="5" borderId="34" xfId="1" applyNumberFormat="1" applyFont="1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164" fontId="6" fillId="4" borderId="20" xfId="1" applyNumberFormat="1" applyFont="1" applyFill="1" applyBorder="1" applyAlignment="1">
      <alignment horizontal="center" vertical="top"/>
    </xf>
    <xf numFmtId="164" fontId="6" fillId="4" borderId="22" xfId="1" applyNumberFormat="1" applyFont="1" applyFill="1" applyBorder="1" applyAlignment="1">
      <alignment horizontal="center" vertical="top"/>
    </xf>
    <xf numFmtId="164" fontId="0" fillId="4" borderId="40" xfId="1" applyNumberFormat="1" applyFont="1" applyFill="1" applyBorder="1" applyAlignment="1">
      <alignment horizontal="center"/>
    </xf>
    <xf numFmtId="164" fontId="0" fillId="4" borderId="41" xfId="1" applyNumberFormat="1" applyFont="1" applyFill="1" applyBorder="1" applyAlignment="1">
      <alignment horizontal="center"/>
    </xf>
    <xf numFmtId="164" fontId="0" fillId="4" borderId="21" xfId="1" applyNumberFormat="1" applyFont="1" applyFill="1" applyBorder="1" applyAlignment="1">
      <alignment horizontal="center"/>
    </xf>
    <xf numFmtId="10" fontId="0" fillId="4" borderId="22" xfId="2" applyNumberFormat="1" applyFont="1" applyFill="1" applyBorder="1" applyAlignment="1">
      <alignment horizontal="center"/>
    </xf>
    <xf numFmtId="164" fontId="0" fillId="4" borderId="42" xfId="1" applyNumberFormat="1" applyFon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164" fontId="0" fillId="4" borderId="20" xfId="1" applyNumberFormat="1" applyFont="1" applyFill="1" applyBorder="1" applyAlignment="1">
      <alignment horizontal="center"/>
    </xf>
    <xf numFmtId="164" fontId="0" fillId="4" borderId="22" xfId="1" applyNumberFormat="1" applyFont="1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164" fontId="6" fillId="5" borderId="20" xfId="1" applyNumberFormat="1" applyFont="1" applyFill="1" applyBorder="1" applyAlignment="1">
      <alignment horizontal="center" vertical="top"/>
    </xf>
    <xf numFmtId="164" fontId="6" fillId="5" borderId="22" xfId="1" applyNumberFormat="1" applyFont="1" applyFill="1" applyBorder="1" applyAlignment="1">
      <alignment horizontal="center" vertical="top"/>
    </xf>
    <xf numFmtId="164" fontId="0" fillId="5" borderId="40" xfId="1" applyNumberFormat="1" applyFont="1" applyFill="1" applyBorder="1" applyAlignment="1">
      <alignment horizontal="center"/>
    </xf>
    <xf numFmtId="164" fontId="0" fillId="5" borderId="41" xfId="1" applyNumberFormat="1" applyFont="1" applyFill="1" applyBorder="1" applyAlignment="1">
      <alignment horizontal="center"/>
    </xf>
    <xf numFmtId="164" fontId="0" fillId="5" borderId="21" xfId="1" applyNumberFormat="1" applyFont="1" applyFill="1" applyBorder="1" applyAlignment="1">
      <alignment horizontal="center"/>
    </xf>
    <xf numFmtId="10" fontId="0" fillId="5" borderId="22" xfId="2" applyNumberFormat="1" applyFont="1" applyFill="1" applyBorder="1" applyAlignment="1">
      <alignment horizontal="center"/>
    </xf>
    <xf numFmtId="164" fontId="0" fillId="5" borderId="42" xfId="1" applyNumberFormat="1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64" fontId="0" fillId="5" borderId="20" xfId="1" applyNumberFormat="1" applyFont="1" applyFill="1" applyBorder="1" applyAlignment="1">
      <alignment horizontal="center"/>
    </xf>
    <xf numFmtId="164" fontId="0" fillId="5" borderId="22" xfId="1" applyNumberFormat="1" applyFont="1" applyFill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164" fontId="2" fillId="2" borderId="29" xfId="1" applyNumberFormat="1" applyFont="1" applyFill="1" applyBorder="1" applyAlignment="1">
      <alignment horizontal="center" vertical="top"/>
    </xf>
    <xf numFmtId="164" fontId="2" fillId="2" borderId="31" xfId="1" applyNumberFormat="1" applyFont="1" applyFill="1" applyBorder="1" applyAlignment="1">
      <alignment horizontal="center" vertical="top"/>
    </xf>
    <xf numFmtId="164" fontId="2" fillId="2" borderId="44" xfId="1" applyNumberFormat="1" applyFont="1" applyFill="1" applyBorder="1" applyAlignment="1">
      <alignment horizontal="center" vertical="top"/>
    </xf>
    <xf numFmtId="164" fontId="2" fillId="2" borderId="45" xfId="1" applyNumberFormat="1" applyFont="1" applyFill="1" applyBorder="1" applyAlignment="1">
      <alignment horizontal="center" vertical="top"/>
    </xf>
    <xf numFmtId="164" fontId="2" fillId="2" borderId="30" xfId="1" applyNumberFormat="1" applyFont="1" applyFill="1" applyBorder="1" applyAlignment="1">
      <alignment horizontal="center" vertical="top"/>
    </xf>
    <xf numFmtId="10" fontId="2" fillId="2" borderId="31" xfId="2" applyNumberFormat="1" applyFont="1" applyFill="1" applyBorder="1" applyAlignment="1">
      <alignment horizontal="center" vertical="top"/>
    </xf>
    <xf numFmtId="164" fontId="2" fillId="2" borderId="46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0" fontId="2" fillId="2" borderId="31" xfId="2" applyNumberFormat="1" applyFont="1" applyFill="1" applyBorder="1" applyAlignment="1">
      <alignment horizontal="center"/>
    </xf>
    <xf numFmtId="0" fontId="3" fillId="0" borderId="0" xfId="0" applyFont="1"/>
    <xf numFmtId="164" fontId="2" fillId="2" borderId="29" xfId="0" applyNumberFormat="1" applyFont="1" applyFill="1" applyBorder="1" applyAlignment="1">
      <alignment horizontal="center"/>
    </xf>
    <xf numFmtId="164" fontId="2" fillId="2" borderId="30" xfId="1" applyNumberFormat="1" applyFont="1" applyFill="1" applyBorder="1" applyAlignment="1">
      <alignment horizontal="center"/>
    </xf>
    <xf numFmtId="164" fontId="2" fillId="2" borderId="31" xfId="1" applyNumberFormat="1" applyFont="1" applyFill="1" applyBorder="1" applyAlignment="1">
      <alignment horizontal="center"/>
    </xf>
    <xf numFmtId="164" fontId="2" fillId="2" borderId="25" xfId="1" applyNumberFormat="1" applyFont="1" applyFill="1" applyBorder="1" applyAlignment="1">
      <alignment horizontal="center"/>
    </xf>
    <xf numFmtId="164" fontId="2" fillId="2" borderId="27" xfId="1" applyNumberFormat="1" applyFont="1" applyFill="1" applyBorder="1" applyAlignment="1">
      <alignment horizontal="center"/>
    </xf>
    <xf numFmtId="164" fontId="2" fillId="2" borderId="26" xfId="1" applyNumberFormat="1" applyFont="1" applyFill="1" applyBorder="1" applyAlignment="1">
      <alignment horizontal="center"/>
    </xf>
    <xf numFmtId="164" fontId="0" fillId="5" borderId="47" xfId="1" applyNumberFormat="1" applyFont="1" applyFill="1" applyBorder="1" applyAlignment="1">
      <alignment horizontal="center"/>
    </xf>
    <xf numFmtId="164" fontId="0" fillId="5" borderId="18" xfId="1" applyNumberFormat="1" applyFont="1" applyFill="1" applyBorder="1" applyAlignment="1">
      <alignment horizontal="center"/>
    </xf>
    <xf numFmtId="164" fontId="0" fillId="5" borderId="19" xfId="1" applyNumberFormat="1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164" fontId="2" fillId="2" borderId="25" xfId="1" applyNumberFormat="1" applyFont="1" applyFill="1" applyBorder="1" applyAlignment="1">
      <alignment horizontal="center" vertical="top"/>
    </xf>
    <xf numFmtId="164" fontId="2" fillId="2" borderId="26" xfId="1" applyNumberFormat="1" applyFont="1" applyFill="1" applyBorder="1" applyAlignment="1">
      <alignment horizontal="center" vertical="top"/>
    </xf>
    <xf numFmtId="164" fontId="2" fillId="2" borderId="49" xfId="1" applyNumberFormat="1" applyFont="1" applyFill="1" applyBorder="1" applyAlignment="1">
      <alignment horizontal="center" vertical="top"/>
    </xf>
    <xf numFmtId="164" fontId="2" fillId="2" borderId="50" xfId="1" applyNumberFormat="1" applyFont="1" applyFill="1" applyBorder="1" applyAlignment="1">
      <alignment horizontal="center" vertical="top"/>
    </xf>
    <xf numFmtId="164" fontId="2" fillId="2" borderId="27" xfId="1" applyNumberFormat="1" applyFont="1" applyFill="1" applyBorder="1" applyAlignment="1">
      <alignment horizontal="center" vertical="top"/>
    </xf>
    <xf numFmtId="10" fontId="2" fillId="2" borderId="26" xfId="2" applyNumberFormat="1" applyFont="1" applyFill="1" applyBorder="1" applyAlignment="1">
      <alignment horizontal="center" vertical="top"/>
    </xf>
    <xf numFmtId="164" fontId="2" fillId="2" borderId="28" xfId="0" applyNumberFormat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10" fontId="2" fillId="2" borderId="26" xfId="2" applyNumberFormat="1" applyFont="1" applyFill="1" applyBorder="1" applyAlignment="1">
      <alignment horizontal="center"/>
    </xf>
    <xf numFmtId="164" fontId="2" fillId="2" borderId="25" xfId="0" applyNumberFormat="1" applyFont="1" applyFill="1" applyBorder="1" applyAlignment="1">
      <alignment horizontal="center"/>
    </xf>
    <xf numFmtId="164" fontId="2" fillId="2" borderId="29" xfId="1" applyNumberFormat="1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164" fontId="6" fillId="5" borderId="47" xfId="1" applyNumberFormat="1" applyFont="1" applyFill="1" applyBorder="1" applyAlignment="1">
      <alignment horizontal="center" vertical="top"/>
    </xf>
    <xf numFmtId="164" fontId="6" fillId="5" borderId="19" xfId="1" applyNumberFormat="1" applyFont="1" applyFill="1" applyBorder="1" applyAlignment="1">
      <alignment horizontal="center" vertical="top"/>
    </xf>
    <xf numFmtId="164" fontId="0" fillId="5" borderId="15" xfId="1" applyNumberFormat="1" applyFont="1" applyFill="1" applyBorder="1" applyAlignment="1">
      <alignment horizontal="center"/>
    </xf>
    <xf numFmtId="164" fontId="0" fillId="5" borderId="14" xfId="1" applyNumberFormat="1" applyFont="1" applyFill="1" applyBorder="1" applyAlignment="1">
      <alignment horizontal="center"/>
    </xf>
    <xf numFmtId="10" fontId="0" fillId="5" borderId="19" xfId="2" applyNumberFormat="1" applyFont="1" applyFill="1" applyBorder="1" applyAlignment="1">
      <alignment horizontal="center"/>
    </xf>
    <xf numFmtId="164" fontId="0" fillId="5" borderId="52" xfId="1" applyNumberFormat="1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164" fontId="2" fillId="3" borderId="53" xfId="1" applyNumberFormat="1" applyFont="1" applyFill="1" applyBorder="1" applyAlignment="1">
      <alignment horizontal="center" vertical="top"/>
    </xf>
    <xf numFmtId="164" fontId="2" fillId="3" borderId="10" xfId="1" applyNumberFormat="1" applyFont="1" applyFill="1" applyBorder="1" applyAlignment="1">
      <alignment horizontal="center" vertical="top"/>
    </xf>
    <xf numFmtId="164" fontId="2" fillId="3" borderId="0" xfId="1" applyNumberFormat="1" applyFont="1" applyFill="1" applyBorder="1" applyAlignment="1">
      <alignment horizontal="center" vertical="top"/>
    </xf>
    <xf numFmtId="164" fontId="2" fillId="3" borderId="9" xfId="1" applyNumberFormat="1" applyFont="1" applyFill="1" applyBorder="1" applyAlignment="1">
      <alignment horizontal="center" vertical="top"/>
    </xf>
    <xf numFmtId="164" fontId="2" fillId="3" borderId="55" xfId="1" applyNumberFormat="1" applyFont="1" applyFill="1" applyBorder="1" applyAlignment="1">
      <alignment horizontal="center" vertical="top"/>
    </xf>
    <xf numFmtId="10" fontId="2" fillId="3" borderId="10" xfId="2" applyNumberFormat="1" applyFont="1" applyFill="1" applyBorder="1" applyAlignment="1">
      <alignment horizontal="center" vertical="top"/>
    </xf>
    <xf numFmtId="164" fontId="2" fillId="3" borderId="56" xfId="0" applyNumberFormat="1" applyFont="1" applyFill="1" applyBorder="1" applyAlignment="1">
      <alignment horizontal="center"/>
    </xf>
    <xf numFmtId="0" fontId="2" fillId="3" borderId="55" xfId="0" applyFont="1" applyFill="1" applyBorder="1" applyAlignment="1">
      <alignment horizontal="center"/>
    </xf>
    <xf numFmtId="10" fontId="2" fillId="3" borderId="10" xfId="2" applyNumberFormat="1" applyFont="1" applyFill="1" applyBorder="1" applyAlignment="1">
      <alignment horizontal="center"/>
    </xf>
    <xf numFmtId="164" fontId="2" fillId="3" borderId="53" xfId="0" applyNumberFormat="1" applyFont="1" applyFill="1" applyBorder="1" applyAlignment="1">
      <alignment horizontal="center"/>
    </xf>
    <xf numFmtId="164" fontId="2" fillId="3" borderId="55" xfId="1" applyNumberFormat="1" applyFont="1" applyFill="1" applyBorder="1" applyAlignment="1">
      <alignment horizontal="center"/>
    </xf>
    <xf numFmtId="164" fontId="2" fillId="3" borderId="10" xfId="1" applyNumberFormat="1" applyFont="1" applyFill="1" applyBorder="1" applyAlignment="1">
      <alignment horizontal="center"/>
    </xf>
    <xf numFmtId="164" fontId="2" fillId="3" borderId="53" xfId="1" applyNumberFormat="1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10" fontId="3" fillId="5" borderId="19" xfId="2" applyNumberFormat="1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10" fontId="3" fillId="4" borderId="22" xfId="2" applyNumberFormat="1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10" fontId="3" fillId="5" borderId="22" xfId="2" applyNumberFormat="1" applyFont="1" applyFill="1" applyBorder="1" applyAlignment="1">
      <alignment horizontal="center"/>
    </xf>
    <xf numFmtId="164" fontId="2" fillId="3" borderId="57" xfId="1" applyNumberFormat="1" applyFont="1" applyFill="1" applyBorder="1" applyAlignment="1">
      <alignment horizontal="center" vertical="top"/>
    </xf>
    <xf numFmtId="164" fontId="2" fillId="3" borderId="59" xfId="1" applyNumberFormat="1" applyFont="1" applyFill="1" applyBorder="1" applyAlignment="1">
      <alignment horizontal="center" vertical="top"/>
    </xf>
    <xf numFmtId="164" fontId="2" fillId="3" borderId="6" xfId="1" applyNumberFormat="1" applyFont="1" applyFill="1" applyBorder="1" applyAlignment="1">
      <alignment horizontal="center" vertical="top"/>
    </xf>
    <xf numFmtId="164" fontId="2" fillId="3" borderId="5" xfId="1" applyNumberFormat="1" applyFont="1" applyFill="1" applyBorder="1" applyAlignment="1">
      <alignment horizontal="center" vertical="top"/>
    </xf>
    <xf numFmtId="164" fontId="2" fillId="3" borderId="60" xfId="1" applyNumberFormat="1" applyFont="1" applyFill="1" applyBorder="1" applyAlignment="1">
      <alignment horizontal="center" vertical="top"/>
    </xf>
    <xf numFmtId="10" fontId="2" fillId="3" borderId="59" xfId="2" applyNumberFormat="1" applyFont="1" applyFill="1" applyBorder="1" applyAlignment="1">
      <alignment horizontal="center" vertical="top"/>
    </xf>
    <xf numFmtId="164" fontId="2" fillId="3" borderId="61" xfId="0" applyNumberFormat="1" applyFont="1" applyFill="1" applyBorder="1" applyAlignment="1">
      <alignment horizontal="center"/>
    </xf>
    <xf numFmtId="0" fontId="2" fillId="3" borderId="60" xfId="0" applyFont="1" applyFill="1" applyBorder="1" applyAlignment="1">
      <alignment horizontal="center"/>
    </xf>
    <xf numFmtId="10" fontId="2" fillId="3" borderId="59" xfId="2" applyNumberFormat="1" applyFont="1" applyFill="1" applyBorder="1" applyAlignment="1">
      <alignment horizontal="center"/>
    </xf>
    <xf numFmtId="164" fontId="2" fillId="3" borderId="57" xfId="0" applyNumberFormat="1" applyFont="1" applyFill="1" applyBorder="1" applyAlignment="1">
      <alignment horizontal="center"/>
    </xf>
    <xf numFmtId="164" fontId="2" fillId="3" borderId="60" xfId="1" applyNumberFormat="1" applyFont="1" applyFill="1" applyBorder="1" applyAlignment="1">
      <alignment horizontal="center"/>
    </xf>
    <xf numFmtId="164" fontId="2" fillId="3" borderId="59" xfId="1" applyNumberFormat="1" applyFont="1" applyFill="1" applyBorder="1" applyAlignment="1">
      <alignment horizontal="center"/>
    </xf>
    <xf numFmtId="164" fontId="2" fillId="3" borderId="57" xfId="1" applyNumberFormat="1" applyFont="1" applyFill="1" applyBorder="1" applyAlignment="1">
      <alignment horizontal="center"/>
    </xf>
    <xf numFmtId="164" fontId="7" fillId="0" borderId="0" xfId="1" applyNumberFormat="1" applyFont="1" applyBorder="1" applyAlignment="1">
      <alignment horizontal="center" vertical="top"/>
    </xf>
    <xf numFmtId="164" fontId="2" fillId="3" borderId="62" xfId="1" applyNumberFormat="1" applyFont="1" applyFill="1" applyBorder="1" applyAlignment="1">
      <alignment horizontal="center" vertical="top"/>
    </xf>
    <xf numFmtId="164" fontId="2" fillId="3" borderId="24" xfId="1" applyNumberFormat="1" applyFont="1" applyFill="1" applyBorder="1" applyAlignment="1">
      <alignment horizontal="center" vertical="top"/>
    </xf>
    <xf numFmtId="164" fontId="2" fillId="3" borderId="12" xfId="1" applyNumberFormat="1" applyFont="1" applyFill="1" applyBorder="1" applyAlignment="1">
      <alignment horizontal="center" vertical="top"/>
    </xf>
    <xf numFmtId="164" fontId="2" fillId="3" borderId="11" xfId="1" applyNumberFormat="1" applyFont="1" applyFill="1" applyBorder="1" applyAlignment="1">
      <alignment horizontal="center" vertical="top"/>
    </xf>
    <xf numFmtId="164" fontId="2" fillId="3" borderId="64" xfId="1" applyNumberFormat="1" applyFont="1" applyFill="1" applyBorder="1" applyAlignment="1">
      <alignment horizontal="center" vertical="top"/>
    </xf>
    <xf numFmtId="10" fontId="2" fillId="3" borderId="24" xfId="2" applyNumberFormat="1" applyFont="1" applyFill="1" applyBorder="1" applyAlignment="1">
      <alignment horizontal="center" vertical="top"/>
    </xf>
    <xf numFmtId="164" fontId="2" fillId="3" borderId="65" xfId="0" applyNumberFormat="1" applyFont="1" applyFill="1" applyBorder="1" applyAlignment="1">
      <alignment horizontal="center"/>
    </xf>
    <xf numFmtId="0" fontId="2" fillId="3" borderId="64" xfId="0" applyFont="1" applyFill="1" applyBorder="1" applyAlignment="1">
      <alignment horizontal="center"/>
    </xf>
    <xf numFmtId="10" fontId="2" fillId="3" borderId="24" xfId="2" applyNumberFormat="1" applyFont="1" applyFill="1" applyBorder="1" applyAlignment="1">
      <alignment horizontal="center"/>
    </xf>
    <xf numFmtId="164" fontId="2" fillId="3" borderId="62" xfId="0" applyNumberFormat="1" applyFont="1" applyFill="1" applyBorder="1" applyAlignment="1">
      <alignment horizontal="center"/>
    </xf>
    <xf numFmtId="164" fontId="2" fillId="3" borderId="64" xfId="1" applyNumberFormat="1" applyFont="1" applyFill="1" applyBorder="1" applyAlignment="1">
      <alignment horizontal="center"/>
    </xf>
    <xf numFmtId="164" fontId="2" fillId="3" borderId="24" xfId="1" applyNumberFormat="1" applyFont="1" applyFill="1" applyBorder="1" applyAlignment="1">
      <alignment horizontal="center"/>
    </xf>
    <xf numFmtId="9" fontId="2" fillId="3" borderId="59" xfId="2" applyFont="1" applyFill="1" applyBorder="1" applyAlignment="1">
      <alignment horizontal="center" vertical="top"/>
    </xf>
    <xf numFmtId="164" fontId="0" fillId="0" borderId="0" xfId="1" applyNumberFormat="1" applyFont="1" applyBorder="1" applyAlignment="1">
      <alignment horizontal="center"/>
    </xf>
    <xf numFmtId="164" fontId="0" fillId="5" borderId="38" xfId="0" applyNumberFormat="1" applyFill="1" applyBorder="1" applyAlignment="1">
      <alignment horizontal="center"/>
    </xf>
    <xf numFmtId="164" fontId="0" fillId="5" borderId="37" xfId="0" applyNumberFormat="1" applyFill="1" applyBorder="1" applyAlignment="1">
      <alignment horizontal="center"/>
    </xf>
    <xf numFmtId="164" fontId="0" fillId="5" borderId="32" xfId="0" applyNumberFormat="1" applyFill="1" applyBorder="1" applyAlignment="1">
      <alignment horizontal="center"/>
    </xf>
    <xf numFmtId="164" fontId="0" fillId="5" borderId="34" xfId="0" applyNumberFormat="1" applyFill="1" applyBorder="1" applyAlignment="1">
      <alignment horizontal="center"/>
    </xf>
    <xf numFmtId="164" fontId="0" fillId="4" borderId="42" xfId="0" applyNumberFormat="1" applyFill="1" applyBorder="1" applyAlignment="1">
      <alignment horizontal="center"/>
    </xf>
    <xf numFmtId="164" fontId="0" fillId="4" borderId="21" xfId="0" applyNumberFormat="1" applyFill="1" applyBorder="1" applyAlignment="1">
      <alignment horizontal="center"/>
    </xf>
    <xf numFmtId="164" fontId="0" fillId="4" borderId="20" xfId="0" applyNumberFormat="1" applyFill="1" applyBorder="1" applyAlignment="1">
      <alignment horizontal="center"/>
    </xf>
    <xf numFmtId="164" fontId="0" fillId="4" borderId="22" xfId="0" applyNumberFormat="1" applyFill="1" applyBorder="1" applyAlignment="1">
      <alignment horizontal="center"/>
    </xf>
    <xf numFmtId="164" fontId="0" fillId="5" borderId="42" xfId="0" applyNumberFormat="1" applyFill="1" applyBorder="1" applyAlignment="1">
      <alignment horizontal="center"/>
    </xf>
    <xf numFmtId="164" fontId="0" fillId="5" borderId="21" xfId="0" applyNumberFormat="1" applyFill="1" applyBorder="1" applyAlignment="1">
      <alignment horizontal="center"/>
    </xf>
    <xf numFmtId="164" fontId="0" fillId="5" borderId="20" xfId="0" applyNumberFormat="1" applyFill="1" applyBorder="1" applyAlignment="1">
      <alignment horizontal="center"/>
    </xf>
    <xf numFmtId="164" fontId="0" fillId="5" borderId="22" xfId="0" applyNumberFormat="1" applyFill="1" applyBorder="1" applyAlignment="1">
      <alignment horizontal="center"/>
    </xf>
    <xf numFmtId="164" fontId="2" fillId="2" borderId="49" xfId="1" applyNumberFormat="1" applyFont="1" applyFill="1" applyBorder="1" applyAlignment="1">
      <alignment horizontal="center"/>
    </xf>
    <xf numFmtId="164" fontId="2" fillId="2" borderId="27" xfId="0" applyNumberFormat="1" applyFont="1" applyFill="1" applyBorder="1" applyAlignment="1">
      <alignment horizontal="center"/>
    </xf>
    <xf numFmtId="164" fontId="2" fillId="2" borderId="26" xfId="0" applyNumberFormat="1" applyFont="1" applyFill="1" applyBorder="1" applyAlignment="1">
      <alignment horizontal="center"/>
    </xf>
    <xf numFmtId="164" fontId="0" fillId="5" borderId="52" xfId="0" applyNumberFormat="1" applyFill="1" applyBorder="1" applyAlignment="1">
      <alignment horizontal="center"/>
    </xf>
    <xf numFmtId="164" fontId="0" fillId="5" borderId="18" xfId="0" applyNumberFormat="1" applyFill="1" applyBorder="1" applyAlignment="1">
      <alignment horizontal="center"/>
    </xf>
    <xf numFmtId="164" fontId="0" fillId="5" borderId="47" xfId="0" applyNumberFormat="1" applyFill="1" applyBorder="1" applyAlignment="1">
      <alignment horizontal="center"/>
    </xf>
    <xf numFmtId="164" fontId="0" fillId="5" borderId="19" xfId="0" applyNumberFormat="1" applyFill="1" applyBorder="1" applyAlignment="1">
      <alignment horizontal="center"/>
    </xf>
    <xf numFmtId="164" fontId="2" fillId="2" borderId="44" xfId="1" applyNumberFormat="1" applyFont="1" applyFill="1" applyBorder="1" applyAlignment="1">
      <alignment horizontal="center"/>
    </xf>
    <xf numFmtId="164" fontId="2" fillId="2" borderId="30" xfId="0" applyNumberFormat="1" applyFont="1" applyFill="1" applyBorder="1" applyAlignment="1">
      <alignment horizontal="center"/>
    </xf>
    <xf numFmtId="164" fontId="2" fillId="2" borderId="31" xfId="0" applyNumberFormat="1" applyFont="1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164" fontId="0" fillId="4" borderId="32" xfId="1" applyNumberFormat="1" applyFont="1" applyFill="1" applyBorder="1" applyAlignment="1">
      <alignment horizontal="center"/>
    </xf>
    <xf numFmtId="164" fontId="0" fillId="4" borderId="34" xfId="1" applyNumberFormat="1" applyFont="1" applyFill="1" applyBorder="1" applyAlignment="1">
      <alignment horizontal="center"/>
    </xf>
    <xf numFmtId="164" fontId="0" fillId="4" borderId="35" xfId="1" applyNumberFormat="1" applyFont="1" applyFill="1" applyBorder="1" applyAlignment="1">
      <alignment horizontal="center"/>
    </xf>
    <xf numFmtId="164" fontId="0" fillId="4" borderId="37" xfId="1" applyNumberFormat="1" applyFont="1" applyFill="1" applyBorder="1" applyAlignment="1">
      <alignment horizontal="center"/>
    </xf>
    <xf numFmtId="10" fontId="0" fillId="4" borderId="34" xfId="2" applyNumberFormat="1" applyFont="1" applyFill="1" applyBorder="1" applyAlignment="1">
      <alignment horizontal="center"/>
    </xf>
    <xf numFmtId="164" fontId="0" fillId="4" borderId="38" xfId="0" applyNumberFormat="1" applyFill="1" applyBorder="1" applyAlignment="1">
      <alignment horizontal="center"/>
    </xf>
    <xf numFmtId="164" fontId="0" fillId="4" borderId="37" xfId="0" applyNumberFormat="1" applyFill="1" applyBorder="1" applyAlignment="1">
      <alignment horizontal="center"/>
    </xf>
    <xf numFmtId="164" fontId="0" fillId="4" borderId="32" xfId="0" applyNumberFormat="1" applyFill="1" applyBorder="1" applyAlignment="1">
      <alignment horizontal="center"/>
    </xf>
    <xf numFmtId="164" fontId="0" fillId="4" borderId="34" xfId="0" applyNumberFormat="1" applyFill="1" applyBorder="1" applyAlignment="1">
      <alignment horizontal="center"/>
    </xf>
    <xf numFmtId="164" fontId="2" fillId="3" borderId="62" xfId="1" applyNumberFormat="1" applyFont="1" applyFill="1" applyBorder="1" applyAlignment="1">
      <alignment horizontal="center"/>
    </xf>
    <xf numFmtId="164" fontId="2" fillId="3" borderId="12" xfId="1" applyNumberFormat="1" applyFont="1" applyFill="1" applyBorder="1" applyAlignment="1">
      <alignment horizontal="center"/>
    </xf>
    <xf numFmtId="9" fontId="2" fillId="3" borderId="24" xfId="2" applyFont="1" applyFill="1" applyBorder="1" applyAlignment="1">
      <alignment horizontal="center"/>
    </xf>
    <xf numFmtId="164" fontId="2" fillId="3" borderId="64" xfId="0" applyNumberFormat="1" applyFon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164" fontId="0" fillId="5" borderId="25" xfId="1" applyNumberFormat="1" applyFont="1" applyFill="1" applyBorder="1" applyAlignment="1">
      <alignment horizontal="center"/>
    </xf>
    <xf numFmtId="164" fontId="0" fillId="5" borderId="26" xfId="1" applyNumberFormat="1" applyFont="1" applyFill="1" applyBorder="1" applyAlignment="1">
      <alignment horizontal="center"/>
    </xf>
    <xf numFmtId="164" fontId="0" fillId="5" borderId="49" xfId="1" applyNumberFormat="1" applyFont="1" applyFill="1" applyBorder="1" applyAlignment="1">
      <alignment horizontal="center"/>
    </xf>
    <xf numFmtId="164" fontId="0" fillId="5" borderId="27" xfId="1" applyNumberFormat="1" applyFont="1" applyFill="1" applyBorder="1" applyAlignment="1">
      <alignment horizontal="center"/>
    </xf>
    <xf numFmtId="10" fontId="0" fillId="5" borderId="26" xfId="2" applyNumberFormat="1" applyFont="1" applyFill="1" applyBorder="1" applyAlignment="1">
      <alignment horizontal="center"/>
    </xf>
    <xf numFmtId="164" fontId="0" fillId="5" borderId="28" xfId="1" applyNumberFormat="1" applyFont="1" applyFill="1" applyBorder="1" applyAlignment="1">
      <alignment horizontal="center"/>
    </xf>
    <xf numFmtId="164" fontId="2" fillId="2" borderId="62" xfId="1" applyNumberFormat="1" applyFont="1" applyFill="1" applyBorder="1" applyAlignment="1">
      <alignment horizontal="center"/>
    </xf>
    <xf numFmtId="164" fontId="2" fillId="2" borderId="24" xfId="1" applyNumberFormat="1" applyFont="1" applyFill="1" applyBorder="1" applyAlignment="1">
      <alignment horizontal="center"/>
    </xf>
    <xf numFmtId="164" fontId="2" fillId="2" borderId="12" xfId="1" applyNumberFormat="1" applyFont="1" applyFill="1" applyBorder="1" applyAlignment="1">
      <alignment horizontal="center"/>
    </xf>
    <xf numFmtId="164" fontId="2" fillId="2" borderId="64" xfId="1" applyNumberFormat="1" applyFont="1" applyFill="1" applyBorder="1" applyAlignment="1">
      <alignment horizontal="center"/>
    </xf>
    <xf numFmtId="9" fontId="2" fillId="2" borderId="24" xfId="2" applyFont="1" applyFill="1" applyBorder="1" applyAlignment="1">
      <alignment horizontal="center"/>
    </xf>
    <xf numFmtId="164" fontId="2" fillId="2" borderId="65" xfId="1" applyNumberFormat="1" applyFont="1" applyFill="1" applyBorder="1" applyAlignment="1">
      <alignment horizontal="center"/>
    </xf>
    <xf numFmtId="10" fontId="2" fillId="2" borderId="24" xfId="2" applyNumberFormat="1" applyFont="1" applyFill="1" applyBorder="1" applyAlignment="1">
      <alignment horizontal="center"/>
    </xf>
    <xf numFmtId="0" fontId="0" fillId="5" borderId="66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0" fontId="0" fillId="5" borderId="67" xfId="0" applyFill="1" applyBorder="1" applyAlignment="1">
      <alignment horizontal="center"/>
    </xf>
    <xf numFmtId="0" fontId="0" fillId="5" borderId="68" xfId="0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164" fontId="8" fillId="5" borderId="8" xfId="1" applyNumberFormat="1" applyFont="1" applyFill="1" applyBorder="1" applyAlignment="1">
      <alignment horizontal="center" vertical="center" textRotation="90"/>
    </xf>
    <xf numFmtId="164" fontId="8" fillId="5" borderId="17" xfId="1" applyNumberFormat="1" applyFont="1" applyFill="1" applyBorder="1" applyAlignment="1">
      <alignment horizontal="center" vertical="center" textRotation="90"/>
    </xf>
    <xf numFmtId="164" fontId="8" fillId="5" borderId="23" xfId="1" applyNumberFormat="1" applyFont="1" applyFill="1" applyBorder="1" applyAlignment="1">
      <alignment horizontal="center" vertical="center" textRotation="90"/>
    </xf>
    <xf numFmtId="165" fontId="8" fillId="5" borderId="8" xfId="1" applyNumberFormat="1" applyFont="1" applyFill="1" applyBorder="1" applyAlignment="1">
      <alignment horizontal="center" vertical="center" textRotation="90"/>
    </xf>
    <xf numFmtId="165" fontId="8" fillId="5" borderId="17" xfId="1" applyNumberFormat="1" applyFont="1" applyFill="1" applyBorder="1" applyAlignment="1">
      <alignment horizontal="center" vertical="center" textRotation="90"/>
    </xf>
    <xf numFmtId="165" fontId="8" fillId="5" borderId="23" xfId="1" applyNumberFormat="1" applyFont="1" applyFill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41" fontId="4" fillId="2" borderId="1" xfId="1" applyFont="1" applyFill="1" applyBorder="1" applyAlignment="1">
      <alignment horizontal="center" vertical="center" textRotation="90"/>
    </xf>
    <xf numFmtId="41" fontId="4" fillId="2" borderId="9" xfId="1" applyFont="1" applyFill="1" applyBorder="1" applyAlignment="1">
      <alignment horizontal="center" vertical="center" textRotation="90"/>
    </xf>
    <xf numFmtId="41" fontId="4" fillId="2" borderId="11" xfId="1" applyFont="1" applyFill="1" applyBorder="1" applyAlignment="1">
      <alignment horizontal="center" vertical="center" textRotation="90"/>
    </xf>
    <xf numFmtId="41" fontId="2" fillId="2" borderId="1" xfId="1" applyFont="1" applyFill="1" applyBorder="1" applyAlignment="1">
      <alignment horizontal="center" vertical="center"/>
    </xf>
    <xf numFmtId="41" fontId="2" fillId="2" borderId="9" xfId="1" applyFont="1" applyFill="1" applyBorder="1" applyAlignment="1">
      <alignment horizontal="center" vertical="center"/>
    </xf>
    <xf numFmtId="41" fontId="2" fillId="2" borderId="11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41" fontId="2" fillId="2" borderId="10" xfId="1" applyFont="1" applyFill="1" applyBorder="1" applyAlignment="1">
      <alignment horizontal="center" vertical="center"/>
    </xf>
    <xf numFmtId="41" fontId="2" fillId="2" borderId="24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 wrapText="1"/>
    </xf>
    <xf numFmtId="41" fontId="4" fillId="3" borderId="3" xfId="1" applyFont="1" applyFill="1" applyBorder="1" applyAlignment="1">
      <alignment horizontal="center" vertical="center" wrapText="1"/>
    </xf>
    <xf numFmtId="41" fontId="4" fillId="3" borderId="4" xfId="1" applyFont="1" applyFill="1" applyBorder="1" applyAlignment="1">
      <alignment horizontal="center" vertical="center" wrapText="1"/>
    </xf>
    <xf numFmtId="41" fontId="4" fillId="3" borderId="11" xfId="1" applyFont="1" applyFill="1" applyBorder="1" applyAlignment="1">
      <alignment horizontal="center" vertical="center" wrapText="1"/>
    </xf>
    <xf numFmtId="41" fontId="4" fillId="3" borderId="12" xfId="1" applyFont="1" applyFill="1" applyBorder="1" applyAlignment="1">
      <alignment horizontal="center" vertical="center" wrapText="1"/>
    </xf>
    <xf numFmtId="41" fontId="4" fillId="3" borderId="13" xfId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164" fontId="2" fillId="2" borderId="14" xfId="1" applyNumberFormat="1" applyFont="1" applyFill="1" applyBorder="1" applyAlignment="1">
      <alignment horizontal="center" vertical="center" wrapText="1"/>
    </xf>
    <xf numFmtId="164" fontId="2" fillId="2" borderId="16" xfId="1" applyNumberFormat="1" applyFont="1" applyFill="1" applyBorder="1" applyAlignment="1">
      <alignment horizontal="center" vertical="center" wrapText="1"/>
    </xf>
    <xf numFmtId="164" fontId="2" fillId="2" borderId="17" xfId="1" applyNumberFormat="1" applyFont="1" applyFill="1" applyBorder="1" applyAlignment="1">
      <alignment horizontal="center" vertical="center"/>
    </xf>
    <xf numFmtId="164" fontId="2" fillId="2" borderId="23" xfId="1" applyNumberFormat="1" applyFont="1" applyFill="1" applyBorder="1" applyAlignment="1">
      <alignment horizontal="center" vertical="center"/>
    </xf>
    <xf numFmtId="164" fontId="2" fillId="2" borderId="14" xfId="1" applyNumberFormat="1" applyFont="1" applyFill="1" applyBorder="1" applyAlignment="1">
      <alignment horizontal="center" vertical="center"/>
    </xf>
    <xf numFmtId="164" fontId="2" fillId="2" borderId="15" xfId="1" applyNumberFormat="1" applyFont="1" applyFill="1" applyBorder="1" applyAlignment="1">
      <alignment horizontal="center" vertical="center"/>
    </xf>
    <xf numFmtId="164" fontId="2" fillId="2" borderId="16" xfId="1" applyNumberFormat="1" applyFont="1" applyFill="1" applyBorder="1" applyAlignment="1">
      <alignment horizontal="center" vertical="center"/>
    </xf>
    <xf numFmtId="41" fontId="2" fillId="2" borderId="14" xfId="1" applyFont="1" applyFill="1" applyBorder="1" applyAlignment="1">
      <alignment horizontal="center" vertical="center" wrapText="1"/>
    </xf>
    <xf numFmtId="41" fontId="2" fillId="2" borderId="15" xfId="1" applyFont="1" applyFill="1" applyBorder="1" applyAlignment="1">
      <alignment horizontal="center" vertical="center" wrapText="1"/>
    </xf>
    <xf numFmtId="41" fontId="2" fillId="2" borderId="16" xfId="1" applyFont="1" applyFill="1" applyBorder="1" applyAlignment="1">
      <alignment horizontal="center" vertical="center" wrapText="1"/>
    </xf>
    <xf numFmtId="0" fontId="2" fillId="2" borderId="14" xfId="1" applyNumberFormat="1" applyFont="1" applyFill="1" applyBorder="1" applyAlignment="1">
      <alignment horizontal="center" vertical="center" wrapText="1"/>
    </xf>
    <xf numFmtId="0" fontId="2" fillId="2" borderId="15" xfId="1" applyNumberFormat="1" applyFont="1" applyFill="1" applyBorder="1" applyAlignment="1">
      <alignment horizontal="center" vertical="center" wrapText="1"/>
    </xf>
    <xf numFmtId="41" fontId="2" fillId="2" borderId="18" xfId="1" applyFont="1" applyFill="1" applyBorder="1" applyAlignment="1">
      <alignment horizontal="center" vertical="center" wrapText="1"/>
    </xf>
    <xf numFmtId="41" fontId="2" fillId="2" borderId="19" xfId="1" applyFont="1" applyFill="1" applyBorder="1" applyAlignment="1">
      <alignment horizontal="center" vertical="center" wrapText="1"/>
    </xf>
    <xf numFmtId="0" fontId="0" fillId="4" borderId="4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/>
    </xf>
    <xf numFmtId="0" fontId="2" fillId="3" borderId="54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2" fillId="3" borderId="58" xfId="0" applyFont="1" applyFill="1" applyBorder="1" applyAlignment="1">
      <alignment horizontal="center"/>
    </xf>
    <xf numFmtId="0" fontId="2" fillId="3" borderId="62" xfId="0" applyFont="1" applyFill="1" applyBorder="1" applyAlignment="1">
      <alignment horizontal="center"/>
    </xf>
    <xf numFmtId="0" fontId="2" fillId="3" borderId="63" xfId="0" applyFont="1" applyFill="1" applyBorder="1" applyAlignment="1">
      <alignment horizontal="center"/>
    </xf>
    <xf numFmtId="41" fontId="2" fillId="2" borderId="8" xfId="1" applyFont="1" applyFill="1" applyBorder="1" applyAlignment="1">
      <alignment horizontal="center" vertical="center"/>
    </xf>
    <xf numFmtId="41" fontId="2" fillId="2" borderId="17" xfId="1" applyFont="1" applyFill="1" applyBorder="1" applyAlignment="1">
      <alignment horizontal="center" vertical="center"/>
    </xf>
    <xf numFmtId="41" fontId="2" fillId="2" borderId="23" xfId="1" applyFont="1" applyFill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EE37-F722-4C2B-AD80-B89A9300AE1B}">
  <dimension ref="B4:AD276"/>
  <sheetViews>
    <sheetView tabSelected="1" topLeftCell="A250" workbookViewId="0">
      <selection activeCell="X272" sqref="X272"/>
    </sheetView>
  </sheetViews>
  <sheetFormatPr defaultRowHeight="14.4" x14ac:dyDescent="0.3"/>
  <cols>
    <col min="1" max="1" width="2.44140625" customWidth="1"/>
    <col min="2" max="2" width="2.6640625" customWidth="1"/>
    <col min="3" max="3" width="17.77734375" style="2" bestFit="1" customWidth="1"/>
    <col min="4" max="4" width="19.6640625" style="1" bestFit="1" customWidth="1"/>
    <col min="5" max="7" width="6" style="1" bestFit="1" customWidth="1"/>
    <col min="8" max="8" width="9.5546875" style="1" bestFit="1" customWidth="1"/>
    <col min="9" max="9" width="4.44140625" style="1" bestFit="1" customWidth="1"/>
    <col min="10" max="10" width="7" style="1" bestFit="1" customWidth="1"/>
    <col min="11" max="11" width="8" style="1" bestFit="1" customWidth="1"/>
    <col min="12" max="12" width="3.33203125" style="1" bestFit="1" customWidth="1"/>
    <col min="13" max="13" width="7" style="1" bestFit="1" customWidth="1"/>
    <col min="14" max="14" width="1.109375" customWidth="1"/>
    <col min="15" max="15" width="8" style="1" bestFit="1" customWidth="1"/>
    <col min="16" max="16" width="8" style="1" customWidth="1"/>
    <col min="17" max="19" width="4.44140625" style="1" bestFit="1" customWidth="1"/>
    <col min="20" max="20" width="6.44140625" style="3" bestFit="1" customWidth="1"/>
    <col min="21" max="21" width="1.109375" customWidth="1"/>
    <col min="22" max="23" width="5" bestFit="1" customWidth="1"/>
    <col min="24" max="29" width="6" bestFit="1" customWidth="1"/>
    <col min="30" max="30" width="2.6640625" customWidth="1"/>
  </cols>
  <sheetData>
    <row r="4" spans="2:30" ht="30" customHeight="1" x14ac:dyDescent="0.3">
      <c r="B4" s="206" t="s">
        <v>236</v>
      </c>
      <c r="C4" s="209" t="s">
        <v>0</v>
      </c>
      <c r="D4" s="212" t="s">
        <v>1</v>
      </c>
      <c r="E4" s="215" t="s">
        <v>2</v>
      </c>
      <c r="F4" s="216"/>
      <c r="G4" s="216"/>
      <c r="H4" s="216"/>
      <c r="I4" s="216"/>
      <c r="J4" s="216"/>
      <c r="K4" s="216"/>
      <c r="L4" s="216"/>
      <c r="M4" s="217"/>
      <c r="O4" s="221" t="s">
        <v>3</v>
      </c>
      <c r="P4" s="222"/>
      <c r="Q4" s="222"/>
      <c r="R4" s="222"/>
      <c r="S4" s="222"/>
      <c r="T4" s="223"/>
      <c r="V4" s="227" t="s">
        <v>4</v>
      </c>
      <c r="W4" s="228"/>
      <c r="X4" s="228"/>
      <c r="Y4" s="228"/>
      <c r="Z4" s="228"/>
      <c r="AA4" s="228"/>
      <c r="AB4" s="228"/>
      <c r="AC4" s="229"/>
      <c r="AD4" s="4"/>
    </row>
    <row r="5" spans="2:30" ht="14.4" customHeight="1" x14ac:dyDescent="0.3">
      <c r="B5" s="207"/>
      <c r="C5" s="210"/>
      <c r="D5" s="213"/>
      <c r="E5" s="218"/>
      <c r="F5" s="219"/>
      <c r="G5" s="219"/>
      <c r="H5" s="219"/>
      <c r="I5" s="219"/>
      <c r="J5" s="219"/>
      <c r="K5" s="219"/>
      <c r="L5" s="219"/>
      <c r="M5" s="220"/>
      <c r="O5" s="224"/>
      <c r="P5" s="225"/>
      <c r="Q5" s="225"/>
      <c r="R5" s="225"/>
      <c r="S5" s="225"/>
      <c r="T5" s="226"/>
      <c r="V5" s="230" t="s">
        <v>5</v>
      </c>
      <c r="W5" s="231"/>
      <c r="X5" s="231"/>
      <c r="Y5" s="232"/>
      <c r="Z5" s="230" t="s">
        <v>6</v>
      </c>
      <c r="AA5" s="231"/>
      <c r="AB5" s="231"/>
      <c r="AC5" s="232"/>
      <c r="AD5" s="5"/>
    </row>
    <row r="6" spans="2:30" ht="14.4" customHeight="1" x14ac:dyDescent="0.3">
      <c r="B6" s="207"/>
      <c r="C6" s="210"/>
      <c r="D6" s="213"/>
      <c r="E6" s="233" t="s">
        <v>7</v>
      </c>
      <c r="F6" s="234"/>
      <c r="G6" s="235" t="s">
        <v>8</v>
      </c>
      <c r="H6" s="237" t="s">
        <v>9</v>
      </c>
      <c r="I6" s="238"/>
      <c r="J6" s="239"/>
      <c r="K6" s="240" t="s">
        <v>10</v>
      </c>
      <c r="L6" s="241"/>
      <c r="M6" s="242"/>
      <c r="O6" s="243" t="s">
        <v>11</v>
      </c>
      <c r="P6" s="244"/>
      <c r="Q6" s="245" t="s">
        <v>12</v>
      </c>
      <c r="R6" s="245"/>
      <c r="S6" s="245"/>
      <c r="T6" s="246"/>
      <c r="V6" s="6">
        <v>2026</v>
      </c>
      <c r="W6" s="7">
        <v>2027</v>
      </c>
      <c r="X6" s="7">
        <v>2028</v>
      </c>
      <c r="Y6" s="8">
        <v>2029</v>
      </c>
      <c r="Z6" s="6">
        <v>2026</v>
      </c>
      <c r="AA6" s="7">
        <v>2027</v>
      </c>
      <c r="AB6" s="7">
        <v>2028</v>
      </c>
      <c r="AC6" s="8">
        <v>2029</v>
      </c>
      <c r="AD6" s="5"/>
    </row>
    <row r="7" spans="2:30" x14ac:dyDescent="0.3">
      <c r="B7" s="208"/>
      <c r="C7" s="211"/>
      <c r="D7" s="214"/>
      <c r="E7" s="10" t="s">
        <v>13</v>
      </c>
      <c r="F7" s="11" t="s">
        <v>14</v>
      </c>
      <c r="G7" s="236"/>
      <c r="H7" s="12" t="s">
        <v>15</v>
      </c>
      <c r="I7" s="13" t="s">
        <v>16</v>
      </c>
      <c r="J7" s="14" t="s">
        <v>17</v>
      </c>
      <c r="K7" s="15" t="s">
        <v>18</v>
      </c>
      <c r="L7" s="13" t="s">
        <v>16</v>
      </c>
      <c r="M7" s="14" t="s">
        <v>17</v>
      </c>
      <c r="O7" s="12" t="s">
        <v>18</v>
      </c>
      <c r="P7" s="15" t="s">
        <v>19</v>
      </c>
      <c r="Q7" s="13" t="s">
        <v>13</v>
      </c>
      <c r="R7" s="13" t="s">
        <v>14</v>
      </c>
      <c r="S7" s="13" t="s">
        <v>8</v>
      </c>
      <c r="T7" s="16" t="s">
        <v>20</v>
      </c>
      <c r="V7" s="17">
        <v>0.15</v>
      </c>
      <c r="W7" s="18">
        <v>0.4</v>
      </c>
      <c r="X7" s="18">
        <v>0.9</v>
      </c>
      <c r="Y7" s="19">
        <v>1</v>
      </c>
      <c r="Z7" s="17">
        <v>0.15</v>
      </c>
      <c r="AA7" s="18">
        <v>0.4</v>
      </c>
      <c r="AB7" s="18">
        <v>0.9</v>
      </c>
      <c r="AC7" s="19">
        <v>1</v>
      </c>
      <c r="AD7" s="9"/>
    </row>
    <row r="8" spans="2:30" x14ac:dyDescent="0.3">
      <c r="B8" s="200" t="s">
        <v>237</v>
      </c>
      <c r="C8" s="250" t="s">
        <v>21</v>
      </c>
      <c r="D8" s="21" t="s">
        <v>21</v>
      </c>
      <c r="E8" s="22">
        <v>6</v>
      </c>
      <c r="F8" s="23">
        <v>18</v>
      </c>
      <c r="G8" s="24">
        <v>16</v>
      </c>
      <c r="H8" s="25">
        <v>3995</v>
      </c>
      <c r="I8" s="26">
        <v>166</v>
      </c>
      <c r="J8" s="27">
        <v>1.8157365959324773E-3</v>
      </c>
      <c r="K8" s="28">
        <v>151</v>
      </c>
      <c r="L8" s="29">
        <v>5</v>
      </c>
      <c r="M8" s="27">
        <v>4.7394852479598244E-2</v>
      </c>
      <c r="O8" s="30">
        <v>191.71093726937269</v>
      </c>
      <c r="P8" s="28">
        <v>40.710937269372693</v>
      </c>
      <c r="Q8" s="26">
        <v>31.951822878228782</v>
      </c>
      <c r="R8" s="26">
        <v>10.65060762607626</v>
      </c>
      <c r="S8" s="26">
        <v>11.981933579335793</v>
      </c>
      <c r="T8" s="31">
        <v>3.5502025420254202</v>
      </c>
      <c r="V8" s="30">
        <v>1</v>
      </c>
      <c r="W8" s="26">
        <v>3</v>
      </c>
      <c r="X8" s="26">
        <v>6</v>
      </c>
      <c r="Y8" s="31">
        <v>6</v>
      </c>
      <c r="Z8" s="30">
        <v>3</v>
      </c>
      <c r="AA8" s="26">
        <v>8</v>
      </c>
      <c r="AB8" s="26">
        <v>17</v>
      </c>
      <c r="AC8" s="31">
        <v>18</v>
      </c>
      <c r="AD8" s="20"/>
    </row>
    <row r="9" spans="2:30" x14ac:dyDescent="0.3">
      <c r="B9" s="201"/>
      <c r="C9" s="248"/>
      <c r="D9" s="32" t="s">
        <v>22</v>
      </c>
      <c r="E9" s="33">
        <v>6</v>
      </c>
      <c r="F9" s="34">
        <v>12</v>
      </c>
      <c r="G9" s="35">
        <v>10</v>
      </c>
      <c r="H9" s="36">
        <v>2678</v>
      </c>
      <c r="I9" s="37">
        <v>185</v>
      </c>
      <c r="J9" s="38">
        <v>1.2171570973484791E-3</v>
      </c>
      <c r="K9" s="39">
        <v>237</v>
      </c>
      <c r="L9" s="40">
        <v>4</v>
      </c>
      <c r="M9" s="38">
        <v>0.11432706222865413</v>
      </c>
      <c r="O9" s="41">
        <v>300.89729889298894</v>
      </c>
      <c r="P9" s="39">
        <v>63.897298892988942</v>
      </c>
      <c r="Q9" s="37">
        <v>50.149549815498155</v>
      </c>
      <c r="R9" s="37">
        <v>25.074774907749077</v>
      </c>
      <c r="S9" s="37">
        <v>30.089729889298894</v>
      </c>
      <c r="T9" s="42">
        <v>8.3582583025830264</v>
      </c>
      <c r="V9" s="41">
        <v>1</v>
      </c>
      <c r="W9" s="37">
        <v>3</v>
      </c>
      <c r="X9" s="37">
        <v>6</v>
      </c>
      <c r="Y9" s="42">
        <v>6</v>
      </c>
      <c r="Z9" s="41">
        <v>2</v>
      </c>
      <c r="AA9" s="37">
        <v>5</v>
      </c>
      <c r="AB9" s="37">
        <v>11</v>
      </c>
      <c r="AC9" s="42">
        <v>12</v>
      </c>
      <c r="AD9" s="20"/>
    </row>
    <row r="10" spans="2:30" x14ac:dyDescent="0.3">
      <c r="B10" s="201"/>
      <c r="C10" s="248"/>
      <c r="D10" s="43" t="s">
        <v>23</v>
      </c>
      <c r="E10" s="44">
        <v>6</v>
      </c>
      <c r="F10" s="45">
        <v>14</v>
      </c>
      <c r="G10" s="46">
        <v>16</v>
      </c>
      <c r="H10" s="47">
        <v>4013</v>
      </c>
      <c r="I10" s="48">
        <v>163</v>
      </c>
      <c r="J10" s="49">
        <v>1.8239176369154021E-3</v>
      </c>
      <c r="K10" s="50">
        <v>118</v>
      </c>
      <c r="L10" s="51">
        <v>6</v>
      </c>
      <c r="M10" s="49">
        <v>3.6521200866604764E-2</v>
      </c>
      <c r="O10" s="52">
        <v>149.81384501845019</v>
      </c>
      <c r="P10" s="50">
        <v>31.813845018450195</v>
      </c>
      <c r="Q10" s="48">
        <v>24.968974169741699</v>
      </c>
      <c r="R10" s="48">
        <v>10.7009889298893</v>
      </c>
      <c r="S10" s="48">
        <v>9.3633653136531372</v>
      </c>
      <c r="T10" s="53">
        <v>3.5669963099631001</v>
      </c>
      <c r="V10" s="52">
        <v>1</v>
      </c>
      <c r="W10" s="48">
        <v>3</v>
      </c>
      <c r="X10" s="48">
        <v>6</v>
      </c>
      <c r="Y10" s="53">
        <v>6</v>
      </c>
      <c r="Z10" s="52">
        <v>3</v>
      </c>
      <c r="AA10" s="48">
        <v>6</v>
      </c>
      <c r="AB10" s="48">
        <v>13</v>
      </c>
      <c r="AC10" s="53">
        <v>14</v>
      </c>
      <c r="AD10" s="20"/>
    </row>
    <row r="11" spans="2:30" x14ac:dyDescent="0.3">
      <c r="B11" s="201"/>
      <c r="C11" s="248"/>
      <c r="D11" s="32" t="s">
        <v>24</v>
      </c>
      <c r="E11" s="33">
        <v>6</v>
      </c>
      <c r="F11" s="34">
        <v>12</v>
      </c>
      <c r="G11" s="35">
        <v>11</v>
      </c>
      <c r="H11" s="36">
        <v>2827</v>
      </c>
      <c r="I11" s="37">
        <v>184</v>
      </c>
      <c r="J11" s="38">
        <v>1.2848779365960234E-3</v>
      </c>
      <c r="K11" s="39">
        <v>291</v>
      </c>
      <c r="L11" s="40">
        <v>3</v>
      </c>
      <c r="M11" s="38">
        <v>0.12608318890814557</v>
      </c>
      <c r="O11" s="41">
        <v>369.45617712177119</v>
      </c>
      <c r="P11" s="39">
        <v>78.456177121771191</v>
      </c>
      <c r="Q11" s="37">
        <v>61.576029520295201</v>
      </c>
      <c r="R11" s="37">
        <v>30.7880147601476</v>
      </c>
      <c r="S11" s="37">
        <v>33.586925192888287</v>
      </c>
      <c r="T11" s="42">
        <v>10.262671586715866</v>
      </c>
      <c r="V11" s="41">
        <v>1</v>
      </c>
      <c r="W11" s="37">
        <v>3</v>
      </c>
      <c r="X11" s="37">
        <v>6</v>
      </c>
      <c r="Y11" s="42">
        <v>6</v>
      </c>
      <c r="Z11" s="41">
        <v>2</v>
      </c>
      <c r="AA11" s="37">
        <v>5</v>
      </c>
      <c r="AB11" s="37">
        <v>11</v>
      </c>
      <c r="AC11" s="42">
        <v>12</v>
      </c>
      <c r="AD11" s="20"/>
    </row>
    <row r="12" spans="2:30" x14ac:dyDescent="0.3">
      <c r="B12" s="201"/>
      <c r="C12" s="248"/>
      <c r="D12" s="43" t="s">
        <v>25</v>
      </c>
      <c r="E12" s="44">
        <v>6</v>
      </c>
      <c r="F12" s="45">
        <v>16</v>
      </c>
      <c r="G12" s="46">
        <v>19</v>
      </c>
      <c r="H12" s="47">
        <v>4856</v>
      </c>
      <c r="I12" s="48">
        <v>149</v>
      </c>
      <c r="J12" s="49">
        <v>2.2070630562823807E-3</v>
      </c>
      <c r="K12" s="50">
        <v>140</v>
      </c>
      <c r="L12" s="51">
        <v>6</v>
      </c>
      <c r="M12" s="49">
        <v>3.5282258064516132E-2</v>
      </c>
      <c r="O12" s="52">
        <v>177.74523985239853</v>
      </c>
      <c r="P12" s="50">
        <v>37.745239852398527</v>
      </c>
      <c r="Q12" s="48">
        <v>29.624206642066422</v>
      </c>
      <c r="R12" s="48">
        <v>11.109077490774908</v>
      </c>
      <c r="S12" s="48">
        <v>9.355012623810449</v>
      </c>
      <c r="T12" s="53">
        <v>3.7030258302583028</v>
      </c>
      <c r="V12" s="52">
        <v>1</v>
      </c>
      <c r="W12" s="48">
        <v>3</v>
      </c>
      <c r="X12" s="48">
        <v>6</v>
      </c>
      <c r="Y12" s="53">
        <v>6</v>
      </c>
      <c r="Z12" s="52">
        <v>3</v>
      </c>
      <c r="AA12" s="48">
        <v>7</v>
      </c>
      <c r="AB12" s="48">
        <v>15</v>
      </c>
      <c r="AC12" s="53">
        <v>16</v>
      </c>
      <c r="AD12" s="20"/>
    </row>
    <row r="13" spans="2:30" x14ac:dyDescent="0.3">
      <c r="B13" s="201"/>
      <c r="C13" s="248"/>
      <c r="D13" s="32" t="s">
        <v>26</v>
      </c>
      <c r="E13" s="33">
        <v>6</v>
      </c>
      <c r="F13" s="34">
        <v>12</v>
      </c>
      <c r="G13" s="35">
        <v>13</v>
      </c>
      <c r="H13" s="36">
        <v>3156</v>
      </c>
      <c r="I13" s="37">
        <v>180</v>
      </c>
      <c r="J13" s="38">
        <v>1.4344091856728157E-3</v>
      </c>
      <c r="K13" s="39">
        <v>113</v>
      </c>
      <c r="L13" s="40">
        <v>5</v>
      </c>
      <c r="M13" s="38">
        <v>4.2593290614398795E-2</v>
      </c>
      <c r="O13" s="41">
        <v>143.46580073800737</v>
      </c>
      <c r="P13" s="39">
        <v>30.465800738007374</v>
      </c>
      <c r="Q13" s="37">
        <v>23.910966789667896</v>
      </c>
      <c r="R13" s="37">
        <v>11.955483394833948</v>
      </c>
      <c r="S13" s="37">
        <v>11.035830826000566</v>
      </c>
      <c r="T13" s="42">
        <v>3.9851611316113158</v>
      </c>
      <c r="V13" s="41">
        <v>1</v>
      </c>
      <c r="W13" s="37">
        <v>3</v>
      </c>
      <c r="X13" s="37">
        <v>6</v>
      </c>
      <c r="Y13" s="42">
        <v>6</v>
      </c>
      <c r="Z13" s="41">
        <v>2</v>
      </c>
      <c r="AA13" s="37">
        <v>5</v>
      </c>
      <c r="AB13" s="37">
        <v>11</v>
      </c>
      <c r="AC13" s="42">
        <v>12</v>
      </c>
      <c r="AD13" s="20"/>
    </row>
    <row r="14" spans="2:30" s="65" customFormat="1" x14ac:dyDescent="0.3">
      <c r="B14" s="201"/>
      <c r="C14" s="249"/>
      <c r="D14" s="55" t="s">
        <v>27</v>
      </c>
      <c r="E14" s="56">
        <v>36</v>
      </c>
      <c r="F14" s="57">
        <v>84</v>
      </c>
      <c r="G14" s="58">
        <v>85</v>
      </c>
      <c r="H14" s="59">
        <v>21525</v>
      </c>
      <c r="I14" s="60">
        <v>23</v>
      </c>
      <c r="J14" s="61">
        <v>9.7831615087475773E-3</v>
      </c>
      <c r="K14" s="62">
        <f>SUM(K8:K13)</f>
        <v>1050</v>
      </c>
      <c r="L14" s="63">
        <v>5</v>
      </c>
      <c r="M14" s="64">
        <v>6.0279005683449106E-2</v>
      </c>
      <c r="O14" s="66">
        <v>1333.0892988929888</v>
      </c>
      <c r="P14" s="62">
        <v>283.08929889298895</v>
      </c>
      <c r="Q14" s="67">
        <v>37.030258302583022</v>
      </c>
      <c r="R14" s="67">
        <v>15.870110701107009</v>
      </c>
      <c r="S14" s="67">
        <v>15.683403516388104</v>
      </c>
      <c r="T14" s="68">
        <v>5.2900369003690031</v>
      </c>
      <c r="V14" s="69">
        <v>6</v>
      </c>
      <c r="W14" s="70">
        <v>18</v>
      </c>
      <c r="X14" s="70">
        <v>36</v>
      </c>
      <c r="Y14" s="71">
        <v>36</v>
      </c>
      <c r="Z14" s="69">
        <v>15</v>
      </c>
      <c r="AA14" s="70">
        <v>36</v>
      </c>
      <c r="AB14" s="70">
        <v>78</v>
      </c>
      <c r="AC14" s="71">
        <v>84</v>
      </c>
      <c r="AD14" s="54"/>
    </row>
    <row r="15" spans="2:30" x14ac:dyDescent="0.3">
      <c r="B15" s="201"/>
      <c r="C15" s="250" t="s">
        <v>28</v>
      </c>
      <c r="D15" s="21" t="s">
        <v>29</v>
      </c>
      <c r="E15" s="22">
        <v>8</v>
      </c>
      <c r="F15" s="23">
        <v>36</v>
      </c>
      <c r="G15" s="24">
        <v>38</v>
      </c>
      <c r="H15" s="25">
        <v>10127</v>
      </c>
      <c r="I15" s="26">
        <v>66</v>
      </c>
      <c r="J15" s="27">
        <v>4.6027445574488603E-3</v>
      </c>
      <c r="K15" s="28">
        <v>605</v>
      </c>
      <c r="L15" s="29">
        <v>4</v>
      </c>
      <c r="M15" s="27">
        <v>7.8704305971120075E-2</v>
      </c>
      <c r="O15" s="30">
        <v>768.11335793357932</v>
      </c>
      <c r="P15" s="28">
        <v>163.11335793357932</v>
      </c>
      <c r="Q15" s="26">
        <v>96.014169741697415</v>
      </c>
      <c r="R15" s="26">
        <v>21.336482164821646</v>
      </c>
      <c r="S15" s="26">
        <v>20.213509419304717</v>
      </c>
      <c r="T15" s="31">
        <v>7.1121607216072151</v>
      </c>
      <c r="V15" s="72">
        <v>2</v>
      </c>
      <c r="W15" s="73">
        <v>4</v>
      </c>
      <c r="X15" s="73">
        <v>8</v>
      </c>
      <c r="Y15" s="74">
        <v>8</v>
      </c>
      <c r="Z15" s="72">
        <v>6</v>
      </c>
      <c r="AA15" s="73">
        <v>15</v>
      </c>
      <c r="AB15" s="73">
        <v>33</v>
      </c>
      <c r="AC15" s="74">
        <v>36</v>
      </c>
      <c r="AD15" s="20"/>
    </row>
    <row r="16" spans="2:30" x14ac:dyDescent="0.3">
      <c r="B16" s="201"/>
      <c r="C16" s="248"/>
      <c r="D16" s="32" t="s">
        <v>30</v>
      </c>
      <c r="E16" s="33">
        <v>12</v>
      </c>
      <c r="F16" s="34">
        <v>55</v>
      </c>
      <c r="G16" s="35">
        <v>47</v>
      </c>
      <c r="H16" s="36">
        <v>12687</v>
      </c>
      <c r="I16" s="37">
        <v>49</v>
      </c>
      <c r="J16" s="38">
        <v>5.7662703861314996E-3</v>
      </c>
      <c r="K16" s="39">
        <v>1146</v>
      </c>
      <c r="L16" s="40">
        <v>4</v>
      </c>
      <c r="M16" s="38">
        <v>0.11802265705458291</v>
      </c>
      <c r="O16" s="41">
        <v>1454.9717490774906</v>
      </c>
      <c r="P16" s="39">
        <v>308.97174907749059</v>
      </c>
      <c r="Q16" s="37">
        <v>121.24764575645754</v>
      </c>
      <c r="R16" s="37">
        <v>26.45403180140892</v>
      </c>
      <c r="S16" s="37">
        <v>30.95684572505299</v>
      </c>
      <c r="T16" s="42">
        <v>8.8180106004696395</v>
      </c>
      <c r="V16" s="41">
        <v>2</v>
      </c>
      <c r="W16" s="37">
        <v>5</v>
      </c>
      <c r="X16" s="37">
        <v>11</v>
      </c>
      <c r="Y16" s="42">
        <v>12</v>
      </c>
      <c r="Z16" s="41">
        <v>9</v>
      </c>
      <c r="AA16" s="37">
        <v>22</v>
      </c>
      <c r="AB16" s="37">
        <v>50</v>
      </c>
      <c r="AC16" s="42">
        <v>55</v>
      </c>
      <c r="AD16" s="20"/>
    </row>
    <row r="17" spans="2:30" x14ac:dyDescent="0.3">
      <c r="B17" s="201"/>
      <c r="C17" s="248"/>
      <c r="D17" s="43" t="s">
        <v>31</v>
      </c>
      <c r="E17" s="44">
        <v>7</v>
      </c>
      <c r="F17" s="45">
        <v>14</v>
      </c>
      <c r="G17" s="46">
        <v>18</v>
      </c>
      <c r="H17" s="47">
        <v>4647</v>
      </c>
      <c r="I17" s="48">
        <v>154</v>
      </c>
      <c r="J17" s="49">
        <v>2.1120720804250867E-3</v>
      </c>
      <c r="K17" s="50">
        <v>419</v>
      </c>
      <c r="L17" s="51">
        <v>3</v>
      </c>
      <c r="M17" s="49">
        <v>0.11257388500806018</v>
      </c>
      <c r="O17" s="52">
        <v>531.96611070110703</v>
      </c>
      <c r="P17" s="50">
        <v>112.96611070110703</v>
      </c>
      <c r="Q17" s="48">
        <v>75.995158671586722</v>
      </c>
      <c r="R17" s="48">
        <v>37.997579335793361</v>
      </c>
      <c r="S17" s="48">
        <v>29.553672816728167</v>
      </c>
      <c r="T17" s="53">
        <v>12.665859778597786</v>
      </c>
      <c r="V17" s="52">
        <v>2</v>
      </c>
      <c r="W17" s="48">
        <v>3</v>
      </c>
      <c r="X17" s="48">
        <v>7</v>
      </c>
      <c r="Y17" s="53">
        <v>7</v>
      </c>
      <c r="Z17" s="52">
        <v>3</v>
      </c>
      <c r="AA17" s="48">
        <v>6</v>
      </c>
      <c r="AB17" s="48">
        <v>13</v>
      </c>
      <c r="AC17" s="53">
        <v>14</v>
      </c>
      <c r="AD17" s="20"/>
    </row>
    <row r="18" spans="2:30" x14ac:dyDescent="0.3">
      <c r="B18" s="201"/>
      <c r="C18" s="248"/>
      <c r="D18" s="32" t="s">
        <v>32</v>
      </c>
      <c r="E18" s="33">
        <v>6</v>
      </c>
      <c r="F18" s="34">
        <v>12</v>
      </c>
      <c r="G18" s="35">
        <v>9</v>
      </c>
      <c r="H18" s="36">
        <v>2177</v>
      </c>
      <c r="I18" s="37">
        <v>186</v>
      </c>
      <c r="J18" s="38">
        <v>9.894514566570721E-4</v>
      </c>
      <c r="K18" s="39">
        <v>309</v>
      </c>
      <c r="L18" s="40">
        <v>3</v>
      </c>
      <c r="M18" s="38">
        <v>0.15985514743921367</v>
      </c>
      <c r="O18" s="41">
        <v>392.30913653136531</v>
      </c>
      <c r="P18" s="39">
        <v>83.309136531365311</v>
      </c>
      <c r="Q18" s="37">
        <v>65.38485608856088</v>
      </c>
      <c r="R18" s="37">
        <v>32.69242804428044</v>
      </c>
      <c r="S18" s="37">
        <v>43.589904059040592</v>
      </c>
      <c r="T18" s="42">
        <v>10.897476014760146</v>
      </c>
      <c r="V18" s="41">
        <v>1</v>
      </c>
      <c r="W18" s="37">
        <v>3</v>
      </c>
      <c r="X18" s="37">
        <v>6</v>
      </c>
      <c r="Y18" s="42">
        <v>6</v>
      </c>
      <c r="Z18" s="41">
        <v>2</v>
      </c>
      <c r="AA18" s="37">
        <v>5</v>
      </c>
      <c r="AB18" s="37">
        <v>11</v>
      </c>
      <c r="AC18" s="42">
        <v>12</v>
      </c>
      <c r="AD18" s="20"/>
    </row>
    <row r="19" spans="2:30" x14ac:dyDescent="0.3">
      <c r="B19" s="201"/>
      <c r="C19" s="248"/>
      <c r="D19" s="43" t="s">
        <v>33</v>
      </c>
      <c r="E19" s="44">
        <v>14</v>
      </c>
      <c r="F19" s="45">
        <v>84</v>
      </c>
      <c r="G19" s="46">
        <v>95</v>
      </c>
      <c r="H19" s="47">
        <v>25675</v>
      </c>
      <c r="I19" s="48">
        <v>19</v>
      </c>
      <c r="J19" s="49">
        <v>1.1669345957588574E-2</v>
      </c>
      <c r="K19" s="50">
        <v>4286</v>
      </c>
      <c r="L19" s="51">
        <v>1</v>
      </c>
      <c r="M19" s="49">
        <v>0.21272582886638872</v>
      </c>
      <c r="O19" s="52">
        <v>5441.5435571955713</v>
      </c>
      <c r="P19" s="50">
        <v>1155.5435571955713</v>
      </c>
      <c r="Q19" s="48">
        <v>388.68168265682652</v>
      </c>
      <c r="R19" s="48">
        <v>64.780280442804425</v>
      </c>
      <c r="S19" s="48">
        <v>57.279405865216539</v>
      </c>
      <c r="T19" s="53">
        <v>21.593426814268142</v>
      </c>
      <c r="V19" s="52">
        <v>3</v>
      </c>
      <c r="W19" s="48">
        <v>6</v>
      </c>
      <c r="X19" s="48">
        <v>13</v>
      </c>
      <c r="Y19" s="53">
        <v>14</v>
      </c>
      <c r="Z19" s="52">
        <v>13</v>
      </c>
      <c r="AA19" s="48">
        <v>34</v>
      </c>
      <c r="AB19" s="48">
        <v>76</v>
      </c>
      <c r="AC19" s="53">
        <v>84</v>
      </c>
      <c r="AD19" s="20"/>
    </row>
    <row r="20" spans="2:30" x14ac:dyDescent="0.3">
      <c r="B20" s="201"/>
      <c r="C20" s="248"/>
      <c r="D20" s="32" t="s">
        <v>34</v>
      </c>
      <c r="E20" s="33">
        <v>6</v>
      </c>
      <c r="F20" s="34">
        <v>18</v>
      </c>
      <c r="G20" s="35">
        <v>28</v>
      </c>
      <c r="H20" s="36">
        <v>7289</v>
      </c>
      <c r="I20" s="37">
        <v>98</v>
      </c>
      <c r="J20" s="38">
        <v>3.3128670958077165E-3</v>
      </c>
      <c r="K20" s="39">
        <v>596</v>
      </c>
      <c r="L20" s="40">
        <v>4</v>
      </c>
      <c r="M20" s="38">
        <v>0.10509610298007406</v>
      </c>
      <c r="O20" s="41">
        <v>756.68687822878223</v>
      </c>
      <c r="P20" s="39">
        <v>160.68687822878223</v>
      </c>
      <c r="Q20" s="37">
        <v>126.11447970479703</v>
      </c>
      <c r="R20" s="37">
        <v>42.038159901599016</v>
      </c>
      <c r="S20" s="37">
        <v>27.024531365313653</v>
      </c>
      <c r="T20" s="42">
        <v>14.012719967199672</v>
      </c>
      <c r="V20" s="41">
        <v>1</v>
      </c>
      <c r="W20" s="37">
        <v>3</v>
      </c>
      <c r="X20" s="37">
        <v>6</v>
      </c>
      <c r="Y20" s="42">
        <v>6</v>
      </c>
      <c r="Z20" s="41">
        <v>3</v>
      </c>
      <c r="AA20" s="37">
        <v>8</v>
      </c>
      <c r="AB20" s="37">
        <v>17</v>
      </c>
      <c r="AC20" s="42">
        <v>18</v>
      </c>
      <c r="AD20" s="20"/>
    </row>
    <row r="21" spans="2:30" x14ac:dyDescent="0.3">
      <c r="B21" s="201"/>
      <c r="C21" s="248"/>
      <c r="D21" s="43" t="s">
        <v>35</v>
      </c>
      <c r="E21" s="44">
        <v>10</v>
      </c>
      <c r="F21" s="45">
        <v>29</v>
      </c>
      <c r="G21" s="46">
        <v>28</v>
      </c>
      <c r="H21" s="47">
        <v>7294</v>
      </c>
      <c r="I21" s="48">
        <v>97</v>
      </c>
      <c r="J21" s="49">
        <v>3.3151396071918623E-3</v>
      </c>
      <c r="K21" s="50">
        <v>452</v>
      </c>
      <c r="L21" s="51">
        <v>4</v>
      </c>
      <c r="M21" s="49">
        <v>7.7054210705762016E-2</v>
      </c>
      <c r="O21" s="52">
        <v>573.8632029520295</v>
      </c>
      <c r="P21" s="50">
        <v>121.8632029520295</v>
      </c>
      <c r="Q21" s="48">
        <v>57.38632029520295</v>
      </c>
      <c r="R21" s="48">
        <v>19.788386308690672</v>
      </c>
      <c r="S21" s="48">
        <v>20.495114391143911</v>
      </c>
      <c r="T21" s="53">
        <v>6.5961287695635571</v>
      </c>
      <c r="V21" s="52">
        <v>2</v>
      </c>
      <c r="W21" s="48">
        <v>4</v>
      </c>
      <c r="X21" s="48">
        <v>9</v>
      </c>
      <c r="Y21" s="53">
        <v>10</v>
      </c>
      <c r="Z21" s="52">
        <v>5</v>
      </c>
      <c r="AA21" s="48">
        <v>12</v>
      </c>
      <c r="AB21" s="48">
        <v>27</v>
      </c>
      <c r="AC21" s="53">
        <v>29</v>
      </c>
      <c r="AD21" s="20"/>
    </row>
    <row r="22" spans="2:30" s="65" customFormat="1" x14ac:dyDescent="0.3">
      <c r="B22" s="201"/>
      <c r="C22" s="251"/>
      <c r="D22" s="75" t="s">
        <v>27</v>
      </c>
      <c r="E22" s="76">
        <v>63</v>
      </c>
      <c r="F22" s="77">
        <v>248</v>
      </c>
      <c r="G22" s="78">
        <v>263</v>
      </c>
      <c r="H22" s="79">
        <v>69896</v>
      </c>
      <c r="I22" s="80">
        <v>14</v>
      </c>
      <c r="J22" s="81">
        <v>3.176789114125067E-2</v>
      </c>
      <c r="K22" s="82">
        <f>SUM(K15:K21)</f>
        <v>7813</v>
      </c>
      <c r="L22" s="83">
        <v>2</v>
      </c>
      <c r="M22" s="84">
        <v>0.14273708825839926</v>
      </c>
      <c r="O22" s="85">
        <v>9919.453992619925</v>
      </c>
      <c r="P22" s="82">
        <v>2106.453992619925</v>
      </c>
      <c r="Q22" s="70">
        <v>157.45165067650674</v>
      </c>
      <c r="R22" s="70">
        <v>39.997798357338404</v>
      </c>
      <c r="S22" s="70">
        <v>37.716555105018728</v>
      </c>
      <c r="T22" s="71">
        <v>13.332599452446134</v>
      </c>
      <c r="V22" s="86">
        <v>13</v>
      </c>
      <c r="W22" s="67">
        <v>28</v>
      </c>
      <c r="X22" s="67">
        <v>60</v>
      </c>
      <c r="Y22" s="68">
        <v>63</v>
      </c>
      <c r="Z22" s="86">
        <v>41</v>
      </c>
      <c r="AA22" s="67">
        <v>102</v>
      </c>
      <c r="AB22" s="67">
        <v>227</v>
      </c>
      <c r="AC22" s="68">
        <v>248</v>
      </c>
      <c r="AD22" s="54"/>
    </row>
    <row r="23" spans="2:30" x14ac:dyDescent="0.3">
      <c r="B23" s="201"/>
      <c r="C23" s="247" t="s">
        <v>36</v>
      </c>
      <c r="D23" s="87" t="s">
        <v>37</v>
      </c>
      <c r="E23" s="88">
        <v>17</v>
      </c>
      <c r="F23" s="89">
        <v>37</v>
      </c>
      <c r="G23" s="90">
        <v>21</v>
      </c>
      <c r="H23" s="91">
        <v>5401</v>
      </c>
      <c r="I23" s="73">
        <v>136</v>
      </c>
      <c r="J23" s="92">
        <v>2.4547667971542703E-3</v>
      </c>
      <c r="K23" s="93">
        <v>336</v>
      </c>
      <c r="L23" s="94">
        <v>3</v>
      </c>
      <c r="M23" s="92">
        <v>7.9753145027296468E-2</v>
      </c>
      <c r="O23" s="72">
        <v>426.58857564575641</v>
      </c>
      <c r="P23" s="93">
        <v>90.588575645756407</v>
      </c>
      <c r="Q23" s="73">
        <v>25.093445626220966</v>
      </c>
      <c r="R23" s="73">
        <v>11.529420963398822</v>
      </c>
      <c r="S23" s="73">
        <v>20.313741697416972</v>
      </c>
      <c r="T23" s="74">
        <v>3.8431403211329407</v>
      </c>
      <c r="V23" s="30">
        <v>3</v>
      </c>
      <c r="W23" s="26">
        <v>7</v>
      </c>
      <c r="X23" s="26">
        <v>16</v>
      </c>
      <c r="Y23" s="31">
        <v>17</v>
      </c>
      <c r="Z23" s="30">
        <v>6</v>
      </c>
      <c r="AA23" s="26">
        <v>15</v>
      </c>
      <c r="AB23" s="26">
        <v>34</v>
      </c>
      <c r="AC23" s="31">
        <v>37</v>
      </c>
      <c r="AD23" s="20"/>
    </row>
    <row r="24" spans="2:30" x14ac:dyDescent="0.3">
      <c r="B24" s="201"/>
      <c r="C24" s="248"/>
      <c r="D24" s="32" t="s">
        <v>38</v>
      </c>
      <c r="E24" s="33">
        <v>14</v>
      </c>
      <c r="F24" s="34">
        <v>37</v>
      </c>
      <c r="G24" s="35">
        <v>41</v>
      </c>
      <c r="H24" s="36">
        <v>10085</v>
      </c>
      <c r="I24" s="37">
        <v>67</v>
      </c>
      <c r="J24" s="38">
        <v>4.5836554618220362E-3</v>
      </c>
      <c r="K24" s="39">
        <v>720</v>
      </c>
      <c r="L24" s="40">
        <v>4</v>
      </c>
      <c r="M24" s="38">
        <v>8.8192062714355701E-2</v>
      </c>
      <c r="O24" s="41">
        <v>914.1183763837638</v>
      </c>
      <c r="P24" s="39">
        <v>194.1183763837638</v>
      </c>
      <c r="Q24" s="37">
        <v>65.294169741697416</v>
      </c>
      <c r="R24" s="37">
        <v>24.705902064426049</v>
      </c>
      <c r="S24" s="37">
        <v>22.295570155701554</v>
      </c>
      <c r="T24" s="42">
        <v>8.2353006881420168</v>
      </c>
      <c r="V24" s="41">
        <v>3</v>
      </c>
      <c r="W24" s="37">
        <v>6</v>
      </c>
      <c r="X24" s="37">
        <v>13</v>
      </c>
      <c r="Y24" s="42">
        <v>14</v>
      </c>
      <c r="Z24" s="41">
        <v>6</v>
      </c>
      <c r="AA24" s="37">
        <v>15</v>
      </c>
      <c r="AB24" s="37">
        <v>34</v>
      </c>
      <c r="AC24" s="42">
        <v>37</v>
      </c>
      <c r="AD24" s="20"/>
    </row>
    <row r="25" spans="2:30" x14ac:dyDescent="0.3">
      <c r="B25" s="201"/>
      <c r="C25" s="248"/>
      <c r="D25" s="43" t="s">
        <v>39</v>
      </c>
      <c r="E25" s="44">
        <v>10</v>
      </c>
      <c r="F25" s="45">
        <v>46</v>
      </c>
      <c r="G25" s="46">
        <v>60</v>
      </c>
      <c r="H25" s="47">
        <v>15876</v>
      </c>
      <c r="I25" s="48">
        <v>40</v>
      </c>
      <c r="J25" s="49">
        <v>7.2156781469396771E-3</v>
      </c>
      <c r="K25" s="50">
        <v>3254</v>
      </c>
      <c r="L25" s="51">
        <v>1</v>
      </c>
      <c r="M25" s="49">
        <v>0.26082077588970826</v>
      </c>
      <c r="O25" s="52">
        <v>4131.3072177121767</v>
      </c>
      <c r="P25" s="50">
        <v>877.30721771217668</v>
      </c>
      <c r="Q25" s="48">
        <v>413.13072177121768</v>
      </c>
      <c r="R25" s="48">
        <v>89.811026472003846</v>
      </c>
      <c r="S25" s="48">
        <v>68.855120295202951</v>
      </c>
      <c r="T25" s="53">
        <v>29.937008824001282</v>
      </c>
      <c r="V25" s="52">
        <v>2</v>
      </c>
      <c r="W25" s="48">
        <v>4</v>
      </c>
      <c r="X25" s="48">
        <v>9</v>
      </c>
      <c r="Y25" s="53">
        <v>10</v>
      </c>
      <c r="Z25" s="52">
        <v>7</v>
      </c>
      <c r="AA25" s="48">
        <v>19</v>
      </c>
      <c r="AB25" s="48">
        <v>42</v>
      </c>
      <c r="AC25" s="53">
        <v>46</v>
      </c>
      <c r="AD25" s="20"/>
    </row>
    <row r="26" spans="2:30" x14ac:dyDescent="0.3">
      <c r="B26" s="201"/>
      <c r="C26" s="248"/>
      <c r="D26" s="32" t="s">
        <v>40</v>
      </c>
      <c r="E26" s="33">
        <v>8</v>
      </c>
      <c r="F26" s="34">
        <v>20</v>
      </c>
      <c r="G26" s="35">
        <v>12</v>
      </c>
      <c r="H26" s="36">
        <v>3067</v>
      </c>
      <c r="I26" s="37">
        <v>182</v>
      </c>
      <c r="J26" s="38">
        <v>1.3939584830350207E-3</v>
      </c>
      <c r="K26" s="39">
        <v>203</v>
      </c>
      <c r="L26" s="40">
        <v>4</v>
      </c>
      <c r="M26" s="38">
        <v>8.6530264279624888E-2</v>
      </c>
      <c r="O26" s="41">
        <v>257.73059778597786</v>
      </c>
      <c r="P26" s="39">
        <v>54.730597785977864</v>
      </c>
      <c r="Q26" s="37">
        <v>32.216324723247233</v>
      </c>
      <c r="R26" s="37">
        <v>12.886529889298894</v>
      </c>
      <c r="S26" s="37">
        <v>21.477549815498154</v>
      </c>
      <c r="T26" s="42">
        <v>4.2955099630996312</v>
      </c>
      <c r="V26" s="41">
        <v>2</v>
      </c>
      <c r="W26" s="37">
        <v>4</v>
      </c>
      <c r="X26" s="37">
        <v>8</v>
      </c>
      <c r="Y26" s="42">
        <v>8</v>
      </c>
      <c r="Z26" s="41">
        <v>3</v>
      </c>
      <c r="AA26" s="37">
        <v>8</v>
      </c>
      <c r="AB26" s="37">
        <v>18</v>
      </c>
      <c r="AC26" s="42">
        <v>20</v>
      </c>
      <c r="AD26" s="20"/>
    </row>
    <row r="27" spans="2:30" x14ac:dyDescent="0.3">
      <c r="B27" s="201"/>
      <c r="C27" s="248"/>
      <c r="D27" s="43" t="s">
        <v>41</v>
      </c>
      <c r="E27" s="44">
        <v>9</v>
      </c>
      <c r="F27" s="45">
        <v>16</v>
      </c>
      <c r="G27" s="46">
        <v>28</v>
      </c>
      <c r="H27" s="47">
        <v>7295</v>
      </c>
      <c r="I27" s="48">
        <v>96</v>
      </c>
      <c r="J27" s="49">
        <v>3.3155941094686913E-3</v>
      </c>
      <c r="K27" s="50">
        <v>282</v>
      </c>
      <c r="L27" s="51">
        <v>8</v>
      </c>
      <c r="M27" s="49">
        <v>5.2106430155210645E-2</v>
      </c>
      <c r="O27" s="52">
        <v>358.02969741697416</v>
      </c>
      <c r="P27" s="50">
        <v>76.029697416974159</v>
      </c>
      <c r="Q27" s="48">
        <v>39.781077490774905</v>
      </c>
      <c r="R27" s="48">
        <v>22.376856088560885</v>
      </c>
      <c r="S27" s="48">
        <v>12.786774907749077</v>
      </c>
      <c r="T27" s="53">
        <v>7.4589520295202947</v>
      </c>
      <c r="V27" s="52">
        <v>2</v>
      </c>
      <c r="W27" s="48">
        <v>4</v>
      </c>
      <c r="X27" s="48">
        <v>9</v>
      </c>
      <c r="Y27" s="53">
        <v>9</v>
      </c>
      <c r="Z27" s="52">
        <v>3</v>
      </c>
      <c r="AA27" s="48">
        <v>7</v>
      </c>
      <c r="AB27" s="48">
        <v>15</v>
      </c>
      <c r="AC27" s="53">
        <v>16</v>
      </c>
      <c r="AD27" s="20"/>
    </row>
    <row r="28" spans="2:30" x14ac:dyDescent="0.3">
      <c r="B28" s="201"/>
      <c r="C28" s="248"/>
      <c r="D28" s="32" t="s">
        <v>42</v>
      </c>
      <c r="E28" s="33">
        <v>6</v>
      </c>
      <c r="F28" s="34">
        <v>24</v>
      </c>
      <c r="G28" s="35">
        <v>25</v>
      </c>
      <c r="H28" s="36">
        <v>6692</v>
      </c>
      <c r="I28" s="37">
        <v>108</v>
      </c>
      <c r="J28" s="38">
        <v>3.0415292365407105E-3</v>
      </c>
      <c r="K28" s="39">
        <v>415</v>
      </c>
      <c r="L28" s="40">
        <v>4</v>
      </c>
      <c r="M28" s="38">
        <v>8.1967213114754092E-2</v>
      </c>
      <c r="O28" s="41">
        <v>526.8876752767527</v>
      </c>
      <c r="P28" s="39">
        <v>111.8876752767527</v>
      </c>
      <c r="Q28" s="37">
        <v>87.814612546125446</v>
      </c>
      <c r="R28" s="37">
        <v>21.953653136531361</v>
      </c>
      <c r="S28" s="37">
        <v>21.075507011070108</v>
      </c>
      <c r="T28" s="42">
        <v>7.3178843788437868</v>
      </c>
      <c r="V28" s="41">
        <v>1</v>
      </c>
      <c r="W28" s="37">
        <v>3</v>
      </c>
      <c r="X28" s="37">
        <v>6</v>
      </c>
      <c r="Y28" s="42">
        <v>6</v>
      </c>
      <c r="Z28" s="41">
        <v>4</v>
      </c>
      <c r="AA28" s="37">
        <v>10</v>
      </c>
      <c r="AB28" s="37">
        <v>22</v>
      </c>
      <c r="AC28" s="42">
        <v>24</v>
      </c>
      <c r="AD28" s="20"/>
    </row>
    <row r="29" spans="2:30" s="65" customFormat="1" x14ac:dyDescent="0.3">
      <c r="B29" s="201"/>
      <c r="C29" s="249"/>
      <c r="D29" s="55" t="s">
        <v>27</v>
      </c>
      <c r="E29" s="56">
        <v>64</v>
      </c>
      <c r="F29" s="57">
        <v>180</v>
      </c>
      <c r="G29" s="58">
        <v>187</v>
      </c>
      <c r="H29" s="59">
        <v>48416</v>
      </c>
      <c r="I29" s="60">
        <v>17</v>
      </c>
      <c r="J29" s="61">
        <v>2.2005182234960407E-2</v>
      </c>
      <c r="K29" s="62">
        <f>SUM(K23:K28)</f>
        <v>5210</v>
      </c>
      <c r="L29" s="63">
        <v>3</v>
      </c>
      <c r="M29" s="64">
        <v>0.13829166003079046</v>
      </c>
      <c r="O29" s="66">
        <v>6614.6621402214014</v>
      </c>
      <c r="P29" s="62">
        <v>1404.6621402214014</v>
      </c>
      <c r="Q29" s="67">
        <v>103.3540959409594</v>
      </c>
      <c r="R29" s="67">
        <v>36.748123001230006</v>
      </c>
      <c r="S29" s="67">
        <v>35.372524814018192</v>
      </c>
      <c r="T29" s="68">
        <v>12.249374333743335</v>
      </c>
      <c r="V29" s="69">
        <v>13</v>
      </c>
      <c r="W29" s="70">
        <v>28</v>
      </c>
      <c r="X29" s="70">
        <v>61</v>
      </c>
      <c r="Y29" s="71">
        <v>64</v>
      </c>
      <c r="Z29" s="69">
        <v>29</v>
      </c>
      <c r="AA29" s="70">
        <v>74</v>
      </c>
      <c r="AB29" s="70">
        <v>165</v>
      </c>
      <c r="AC29" s="71">
        <v>180</v>
      </c>
      <c r="AD29" s="54"/>
    </row>
    <row r="30" spans="2:30" x14ac:dyDescent="0.3">
      <c r="B30" s="201"/>
      <c r="C30" s="250" t="s">
        <v>43</v>
      </c>
      <c r="D30" s="21" t="s">
        <v>44</v>
      </c>
      <c r="E30" s="22">
        <v>6</v>
      </c>
      <c r="F30" s="23">
        <v>12</v>
      </c>
      <c r="G30" s="24">
        <v>19</v>
      </c>
      <c r="H30" s="25">
        <v>4666</v>
      </c>
      <c r="I30" s="26">
        <v>153</v>
      </c>
      <c r="J30" s="27">
        <v>2.1207076236848406E-3</v>
      </c>
      <c r="K30" s="28">
        <v>43</v>
      </c>
      <c r="L30" s="29">
        <v>6</v>
      </c>
      <c r="M30" s="27">
        <v>1.1297950604308986E-2</v>
      </c>
      <c r="O30" s="30">
        <v>54.593180811808111</v>
      </c>
      <c r="P30" s="28">
        <v>11.593180811808111</v>
      </c>
      <c r="Q30" s="26">
        <v>9.0988634686346845</v>
      </c>
      <c r="R30" s="26">
        <v>4.5494317343173423</v>
      </c>
      <c r="S30" s="26">
        <v>2.8733253058846375</v>
      </c>
      <c r="T30" s="31">
        <v>1.5164772447724475</v>
      </c>
      <c r="V30" s="72">
        <v>1</v>
      </c>
      <c r="W30" s="73">
        <v>3</v>
      </c>
      <c r="X30" s="73">
        <v>6</v>
      </c>
      <c r="Y30" s="74">
        <v>6</v>
      </c>
      <c r="Z30" s="72">
        <v>2</v>
      </c>
      <c r="AA30" s="73">
        <v>5</v>
      </c>
      <c r="AB30" s="73">
        <v>11</v>
      </c>
      <c r="AC30" s="74">
        <v>12</v>
      </c>
      <c r="AD30" s="20"/>
    </row>
    <row r="31" spans="2:30" x14ac:dyDescent="0.3">
      <c r="B31" s="201"/>
      <c r="C31" s="248"/>
      <c r="D31" s="32" t="s">
        <v>45</v>
      </c>
      <c r="E31" s="33">
        <v>19</v>
      </c>
      <c r="F31" s="34">
        <v>55</v>
      </c>
      <c r="G31" s="35">
        <v>34</v>
      </c>
      <c r="H31" s="36">
        <v>8866</v>
      </c>
      <c r="I31" s="37">
        <v>76</v>
      </c>
      <c r="J31" s="38">
        <v>4.029617186367295E-3</v>
      </c>
      <c r="K31" s="39">
        <v>413</v>
      </c>
      <c r="L31" s="40">
        <v>4</v>
      </c>
      <c r="M31" s="38">
        <v>6.0753162694910268E-2</v>
      </c>
      <c r="O31" s="41">
        <v>524.34845756457571</v>
      </c>
      <c r="P31" s="39">
        <v>111.34845756457571</v>
      </c>
      <c r="Q31" s="37">
        <v>27.597287240240828</v>
      </c>
      <c r="R31" s="37">
        <v>9.5336083193559222</v>
      </c>
      <c r="S31" s="37">
        <v>15.422013457781638</v>
      </c>
      <c r="T31" s="42">
        <v>3.1778694397853076</v>
      </c>
      <c r="V31" s="41">
        <v>3</v>
      </c>
      <c r="W31" s="37">
        <v>8</v>
      </c>
      <c r="X31" s="37">
        <v>18</v>
      </c>
      <c r="Y31" s="42">
        <v>19</v>
      </c>
      <c r="Z31" s="41">
        <v>9</v>
      </c>
      <c r="AA31" s="37">
        <v>22</v>
      </c>
      <c r="AB31" s="37">
        <v>50</v>
      </c>
      <c r="AC31" s="42">
        <v>55</v>
      </c>
      <c r="AD31" s="20"/>
    </row>
    <row r="32" spans="2:30" x14ac:dyDescent="0.3">
      <c r="B32" s="201"/>
      <c r="C32" s="248"/>
      <c r="D32" s="43" t="s">
        <v>46</v>
      </c>
      <c r="E32" s="44">
        <v>19</v>
      </c>
      <c r="F32" s="45">
        <v>63</v>
      </c>
      <c r="G32" s="46">
        <v>44</v>
      </c>
      <c r="H32" s="47">
        <v>11633</v>
      </c>
      <c r="I32" s="48">
        <v>56</v>
      </c>
      <c r="J32" s="49">
        <v>5.2872249863535692E-3</v>
      </c>
      <c r="K32" s="50">
        <v>598</v>
      </c>
      <c r="L32" s="51">
        <v>5</v>
      </c>
      <c r="M32" s="49">
        <v>6.5455341506129597E-2</v>
      </c>
      <c r="O32" s="52">
        <v>759.22609594095934</v>
      </c>
      <c r="P32" s="50">
        <v>161.22609594095934</v>
      </c>
      <c r="Q32" s="48">
        <v>39.959268207418916</v>
      </c>
      <c r="R32" s="48">
        <v>12.05120787207872</v>
      </c>
      <c r="S32" s="48">
        <v>17.255138544112711</v>
      </c>
      <c r="T32" s="53">
        <v>4.0170692906929064</v>
      </c>
      <c r="V32" s="52">
        <v>3</v>
      </c>
      <c r="W32" s="48">
        <v>8</v>
      </c>
      <c r="X32" s="48">
        <v>18</v>
      </c>
      <c r="Y32" s="53">
        <v>19</v>
      </c>
      <c r="Z32" s="52">
        <v>10</v>
      </c>
      <c r="AA32" s="48">
        <v>26</v>
      </c>
      <c r="AB32" s="48">
        <v>57</v>
      </c>
      <c r="AC32" s="53">
        <v>63</v>
      </c>
      <c r="AD32" s="20"/>
    </row>
    <row r="33" spans="2:30" x14ac:dyDescent="0.3">
      <c r="B33" s="201"/>
      <c r="C33" s="248"/>
      <c r="D33" s="32" t="s">
        <v>47</v>
      </c>
      <c r="E33" s="33">
        <v>5</v>
      </c>
      <c r="F33" s="34">
        <v>10</v>
      </c>
      <c r="G33" s="35">
        <v>14</v>
      </c>
      <c r="H33" s="36">
        <v>3752</v>
      </c>
      <c r="I33" s="37">
        <v>168</v>
      </c>
      <c r="J33" s="38">
        <v>1.7052925426629924E-3</v>
      </c>
      <c r="K33" s="39">
        <v>82</v>
      </c>
      <c r="L33" s="40">
        <v>8</v>
      </c>
      <c r="M33" s="38">
        <v>2.6451612903225806E-2</v>
      </c>
      <c r="O33" s="41">
        <v>104.107926199262</v>
      </c>
      <c r="P33" s="39">
        <v>22.107926199261996</v>
      </c>
      <c r="Q33" s="37">
        <v>20.8215852398524</v>
      </c>
      <c r="R33" s="37">
        <v>10.4107926199262</v>
      </c>
      <c r="S33" s="37">
        <v>7.4362804428044287</v>
      </c>
      <c r="T33" s="42">
        <v>3.4702642066420668</v>
      </c>
      <c r="V33" s="41">
        <v>1</v>
      </c>
      <c r="W33" s="37">
        <v>2</v>
      </c>
      <c r="X33" s="37">
        <v>5</v>
      </c>
      <c r="Y33" s="42">
        <v>5</v>
      </c>
      <c r="Z33" s="41">
        <v>2</v>
      </c>
      <c r="AA33" s="37">
        <v>4</v>
      </c>
      <c r="AB33" s="37">
        <v>9</v>
      </c>
      <c r="AC33" s="42">
        <v>10</v>
      </c>
      <c r="AD33" s="20"/>
    </row>
    <row r="34" spans="2:30" x14ac:dyDescent="0.3">
      <c r="B34" s="201"/>
      <c r="C34" s="248"/>
      <c r="D34" s="43" t="s">
        <v>48</v>
      </c>
      <c r="E34" s="44">
        <v>6</v>
      </c>
      <c r="F34" s="45">
        <v>12</v>
      </c>
      <c r="G34" s="46">
        <v>16</v>
      </c>
      <c r="H34" s="47">
        <v>3697</v>
      </c>
      <c r="I34" s="48">
        <v>170</v>
      </c>
      <c r="J34" s="49">
        <v>1.680294917437389E-3</v>
      </c>
      <c r="K34" s="50">
        <v>107</v>
      </c>
      <c r="L34" s="51">
        <v>6</v>
      </c>
      <c r="M34" s="49">
        <v>3.5465694398409013E-2</v>
      </c>
      <c r="O34" s="52">
        <v>135.84814760147603</v>
      </c>
      <c r="P34" s="50">
        <v>28.848147601476029</v>
      </c>
      <c r="Q34" s="48">
        <v>22.641357933579339</v>
      </c>
      <c r="R34" s="48">
        <v>11.32067896678967</v>
      </c>
      <c r="S34" s="48">
        <v>8.4905092250922518</v>
      </c>
      <c r="T34" s="53">
        <v>3.7735596555965567</v>
      </c>
      <c r="V34" s="52">
        <v>1</v>
      </c>
      <c r="W34" s="48">
        <v>3</v>
      </c>
      <c r="X34" s="48">
        <v>6</v>
      </c>
      <c r="Y34" s="53">
        <v>6</v>
      </c>
      <c r="Z34" s="52">
        <v>2</v>
      </c>
      <c r="AA34" s="48">
        <v>5</v>
      </c>
      <c r="AB34" s="48">
        <v>11</v>
      </c>
      <c r="AC34" s="53">
        <v>12</v>
      </c>
      <c r="AD34" s="20"/>
    </row>
    <row r="35" spans="2:30" x14ac:dyDescent="0.3">
      <c r="B35" s="201"/>
      <c r="C35" s="248"/>
      <c r="D35" s="32" t="s">
        <v>49</v>
      </c>
      <c r="E35" s="33">
        <v>11</v>
      </c>
      <c r="F35" s="34">
        <v>37</v>
      </c>
      <c r="G35" s="35">
        <v>37</v>
      </c>
      <c r="H35" s="36">
        <v>9879</v>
      </c>
      <c r="I35" s="37">
        <v>70</v>
      </c>
      <c r="J35" s="38">
        <v>4.4900279927952303E-3</v>
      </c>
      <c r="K35" s="39">
        <v>305</v>
      </c>
      <c r="L35" s="40">
        <v>8</v>
      </c>
      <c r="M35" s="38">
        <v>3.9072508326928004E-2</v>
      </c>
      <c r="O35" s="41">
        <v>387.2307011070111</v>
      </c>
      <c r="P35" s="39">
        <v>82.2307011070111</v>
      </c>
      <c r="Q35" s="37">
        <v>35.20279100972828</v>
      </c>
      <c r="R35" s="37">
        <v>10.465694624513814</v>
      </c>
      <c r="S35" s="37">
        <v>10.465694624513814</v>
      </c>
      <c r="T35" s="42">
        <v>3.4885648748379379</v>
      </c>
      <c r="V35" s="41">
        <v>2</v>
      </c>
      <c r="W35" s="37">
        <v>5</v>
      </c>
      <c r="X35" s="37">
        <v>10</v>
      </c>
      <c r="Y35" s="42">
        <v>11</v>
      </c>
      <c r="Z35" s="41">
        <v>6</v>
      </c>
      <c r="AA35" s="37">
        <v>15</v>
      </c>
      <c r="AB35" s="37">
        <v>34</v>
      </c>
      <c r="AC35" s="42">
        <v>37</v>
      </c>
      <c r="AD35" s="20"/>
    </row>
    <row r="36" spans="2:30" x14ac:dyDescent="0.3">
      <c r="B36" s="201"/>
      <c r="C36" s="248"/>
      <c r="D36" s="43" t="s">
        <v>50</v>
      </c>
      <c r="E36" s="44">
        <v>26</v>
      </c>
      <c r="F36" s="45">
        <v>135</v>
      </c>
      <c r="G36" s="46">
        <v>124</v>
      </c>
      <c r="H36" s="47">
        <v>33316</v>
      </c>
      <c r="I36" s="48">
        <v>12</v>
      </c>
      <c r="J36" s="49">
        <v>1.5142197854840153E-2</v>
      </c>
      <c r="K36" s="50">
        <v>3839</v>
      </c>
      <c r="L36" s="51">
        <v>3</v>
      </c>
      <c r="M36" s="49">
        <v>0.14543319316589007</v>
      </c>
      <c r="O36" s="52">
        <v>4874.0283985239857</v>
      </c>
      <c r="P36" s="50">
        <v>1035.0283985239857</v>
      </c>
      <c r="Q36" s="48">
        <v>187.46263071246099</v>
      </c>
      <c r="R36" s="48">
        <v>36.103914063140635</v>
      </c>
      <c r="S36" s="48">
        <v>39.306680633257947</v>
      </c>
      <c r="T36" s="53">
        <v>12.034638021046879</v>
      </c>
      <c r="V36" s="52">
        <v>4</v>
      </c>
      <c r="W36" s="48">
        <v>11</v>
      </c>
      <c r="X36" s="48">
        <v>24</v>
      </c>
      <c r="Y36" s="53">
        <v>26</v>
      </c>
      <c r="Z36" s="52">
        <v>21</v>
      </c>
      <c r="AA36" s="48">
        <v>54</v>
      </c>
      <c r="AB36" s="48">
        <v>122</v>
      </c>
      <c r="AC36" s="53">
        <v>135</v>
      </c>
      <c r="AD36" s="20"/>
    </row>
    <row r="37" spans="2:30" x14ac:dyDescent="0.3">
      <c r="B37" s="201"/>
      <c r="C37" s="248"/>
      <c r="D37" s="32" t="s">
        <v>51</v>
      </c>
      <c r="E37" s="33">
        <v>17</v>
      </c>
      <c r="F37" s="34">
        <v>120</v>
      </c>
      <c r="G37" s="35">
        <v>94</v>
      </c>
      <c r="H37" s="36">
        <v>24680</v>
      </c>
      <c r="I37" s="37">
        <v>20</v>
      </c>
      <c r="J37" s="38">
        <v>1.1217116192143564E-2</v>
      </c>
      <c r="K37" s="39">
        <v>4062</v>
      </c>
      <c r="L37" s="40">
        <v>2</v>
      </c>
      <c r="M37" s="38">
        <v>0.20451112677474576</v>
      </c>
      <c r="O37" s="41">
        <v>5157.1511734317346</v>
      </c>
      <c r="P37" s="39">
        <v>1095.1511734317346</v>
      </c>
      <c r="Q37" s="37">
        <v>303.36183373127852</v>
      </c>
      <c r="R37" s="37">
        <v>42.976259778597786</v>
      </c>
      <c r="S37" s="37">
        <v>54.863310355656751</v>
      </c>
      <c r="T37" s="42">
        <v>14.325419926199261</v>
      </c>
      <c r="V37" s="41">
        <v>3</v>
      </c>
      <c r="W37" s="37">
        <v>7</v>
      </c>
      <c r="X37" s="37">
        <v>16</v>
      </c>
      <c r="Y37" s="42">
        <v>17</v>
      </c>
      <c r="Z37" s="41">
        <v>18</v>
      </c>
      <c r="AA37" s="37">
        <v>48</v>
      </c>
      <c r="AB37" s="37">
        <v>108</v>
      </c>
      <c r="AC37" s="42">
        <v>120</v>
      </c>
      <c r="AD37" s="20"/>
    </row>
    <row r="38" spans="2:30" s="65" customFormat="1" x14ac:dyDescent="0.3">
      <c r="B38" s="201"/>
      <c r="C38" s="251"/>
      <c r="D38" s="75" t="s">
        <v>27</v>
      </c>
      <c r="E38" s="76">
        <v>109</v>
      </c>
      <c r="F38" s="77">
        <v>444</v>
      </c>
      <c r="G38" s="78">
        <v>382</v>
      </c>
      <c r="H38" s="79">
        <v>100489</v>
      </c>
      <c r="I38" s="80">
        <v>9</v>
      </c>
      <c r="J38" s="81">
        <v>4.5672479296285033E-2</v>
      </c>
      <c r="K38" s="82">
        <f>SUM(K30:K37)</f>
        <v>9449</v>
      </c>
      <c r="L38" s="83">
        <v>3</v>
      </c>
      <c r="M38" s="84">
        <v>0.11822777207777584</v>
      </c>
      <c r="O38" s="85">
        <v>11996.534081180813</v>
      </c>
      <c r="P38" s="82">
        <v>2547.5340811808128</v>
      </c>
      <c r="Q38" s="70">
        <v>110.05994569890655</v>
      </c>
      <c r="R38" s="70">
        <v>27.019220903560388</v>
      </c>
      <c r="S38" s="70">
        <v>31.404539479530925</v>
      </c>
      <c r="T38" s="71">
        <v>9.0064069678534633</v>
      </c>
      <c r="V38" s="86">
        <v>18</v>
      </c>
      <c r="W38" s="67">
        <v>47</v>
      </c>
      <c r="X38" s="67">
        <v>103</v>
      </c>
      <c r="Y38" s="68">
        <v>109</v>
      </c>
      <c r="Z38" s="86">
        <v>70</v>
      </c>
      <c r="AA38" s="67">
        <v>179</v>
      </c>
      <c r="AB38" s="67">
        <v>402</v>
      </c>
      <c r="AC38" s="68">
        <v>444</v>
      </c>
      <c r="AD38" s="54"/>
    </row>
    <row r="39" spans="2:30" x14ac:dyDescent="0.3">
      <c r="B39" s="201"/>
      <c r="C39" s="250" t="s">
        <v>52</v>
      </c>
      <c r="D39" s="21" t="s">
        <v>53</v>
      </c>
      <c r="E39" s="22">
        <v>23</v>
      </c>
      <c r="F39" s="23">
        <v>131</v>
      </c>
      <c r="G39" s="24">
        <v>73</v>
      </c>
      <c r="H39" s="25">
        <v>19504</v>
      </c>
      <c r="I39" s="26">
        <v>25</v>
      </c>
      <c r="J39" s="27">
        <v>8.8646124072758545E-3</v>
      </c>
      <c r="K39" s="28">
        <v>2753</v>
      </c>
      <c r="L39" s="29">
        <v>2</v>
      </c>
      <c r="M39" s="27">
        <v>0.16856478079843251</v>
      </c>
      <c r="O39" s="30">
        <v>3495.2331808118083</v>
      </c>
      <c r="P39" s="28">
        <v>742.23318081180832</v>
      </c>
      <c r="Q39" s="26">
        <v>151.966660035296</v>
      </c>
      <c r="R39" s="26">
        <v>26.68116931917411</v>
      </c>
      <c r="S39" s="26">
        <v>47.879906586463129</v>
      </c>
      <c r="T39" s="31">
        <v>8.89372310639137</v>
      </c>
      <c r="V39" s="30">
        <v>4</v>
      </c>
      <c r="W39" s="26">
        <v>10</v>
      </c>
      <c r="X39" s="26">
        <v>21</v>
      </c>
      <c r="Y39" s="31">
        <v>23</v>
      </c>
      <c r="Z39" s="30">
        <v>20</v>
      </c>
      <c r="AA39" s="26">
        <v>53</v>
      </c>
      <c r="AB39" s="26">
        <v>118</v>
      </c>
      <c r="AC39" s="31">
        <v>131</v>
      </c>
      <c r="AD39" s="20"/>
    </row>
    <row r="40" spans="2:30" x14ac:dyDescent="0.3">
      <c r="B40" s="201"/>
      <c r="C40" s="248"/>
      <c r="D40" s="32" t="s">
        <v>54</v>
      </c>
      <c r="E40" s="33">
        <v>9</v>
      </c>
      <c r="F40" s="34">
        <v>33</v>
      </c>
      <c r="G40" s="35">
        <v>34</v>
      </c>
      <c r="H40" s="36">
        <v>8789</v>
      </c>
      <c r="I40" s="37">
        <v>78</v>
      </c>
      <c r="J40" s="38">
        <v>3.9946205110514502E-3</v>
      </c>
      <c r="K40" s="39">
        <v>387</v>
      </c>
      <c r="L40" s="40">
        <v>5</v>
      </c>
      <c r="M40" s="38">
        <v>5.3586264192744391E-2</v>
      </c>
      <c r="O40" s="41">
        <v>491.33862730627305</v>
      </c>
      <c r="P40" s="39">
        <v>104.33862730627305</v>
      </c>
      <c r="Q40" s="37">
        <v>54.593180811808118</v>
      </c>
      <c r="R40" s="37">
        <v>14.889049312311304</v>
      </c>
      <c r="S40" s="37">
        <v>14.451136097243324</v>
      </c>
      <c r="T40" s="42">
        <v>4.9630164374371013</v>
      </c>
      <c r="V40" s="41">
        <v>2</v>
      </c>
      <c r="W40" s="37">
        <v>4</v>
      </c>
      <c r="X40" s="37">
        <v>9</v>
      </c>
      <c r="Y40" s="42">
        <v>9</v>
      </c>
      <c r="Z40" s="41">
        <v>5</v>
      </c>
      <c r="AA40" s="37">
        <v>14</v>
      </c>
      <c r="AB40" s="37">
        <v>30</v>
      </c>
      <c r="AC40" s="42">
        <v>33</v>
      </c>
      <c r="AD40" s="20"/>
    </row>
    <row r="41" spans="2:30" x14ac:dyDescent="0.3">
      <c r="B41" s="201"/>
      <c r="C41" s="248"/>
      <c r="D41" s="43" t="s">
        <v>55</v>
      </c>
      <c r="E41" s="44">
        <v>18</v>
      </c>
      <c r="F41" s="45">
        <v>53</v>
      </c>
      <c r="G41" s="46">
        <v>40</v>
      </c>
      <c r="H41" s="47">
        <v>10691</v>
      </c>
      <c r="I41" s="48">
        <v>62</v>
      </c>
      <c r="J41" s="49">
        <v>4.8590838415805042E-3</v>
      </c>
      <c r="K41" s="50">
        <v>1047</v>
      </c>
      <c r="L41" s="51">
        <v>3</v>
      </c>
      <c r="M41" s="49">
        <v>0.12154631994427675</v>
      </c>
      <c r="O41" s="52">
        <v>1329.2804723247232</v>
      </c>
      <c r="P41" s="50">
        <v>282.28047232472318</v>
      </c>
      <c r="Q41" s="48">
        <v>73.848915129151294</v>
      </c>
      <c r="R41" s="48">
        <v>25.080763628768363</v>
      </c>
      <c r="S41" s="48">
        <v>33.232011808118081</v>
      </c>
      <c r="T41" s="53">
        <v>8.360254542922787</v>
      </c>
      <c r="V41" s="52">
        <v>3</v>
      </c>
      <c r="W41" s="48">
        <v>8</v>
      </c>
      <c r="X41" s="48">
        <v>17</v>
      </c>
      <c r="Y41" s="53">
        <v>18</v>
      </c>
      <c r="Z41" s="52">
        <v>8</v>
      </c>
      <c r="AA41" s="48">
        <v>22</v>
      </c>
      <c r="AB41" s="48">
        <v>48</v>
      </c>
      <c r="AC41" s="53">
        <v>53</v>
      </c>
      <c r="AD41" s="20"/>
    </row>
    <row r="42" spans="2:30" x14ac:dyDescent="0.3">
      <c r="B42" s="201"/>
      <c r="C42" s="248"/>
      <c r="D42" s="32" t="s">
        <v>56</v>
      </c>
      <c r="E42" s="33">
        <v>15</v>
      </c>
      <c r="F42" s="34">
        <v>82</v>
      </c>
      <c r="G42" s="35">
        <v>32</v>
      </c>
      <c r="H42" s="36">
        <v>8369</v>
      </c>
      <c r="I42" s="37">
        <v>84</v>
      </c>
      <c r="J42" s="38">
        <v>3.8037295547832047E-3</v>
      </c>
      <c r="K42" s="39">
        <v>1163</v>
      </c>
      <c r="L42" s="40">
        <v>3</v>
      </c>
      <c r="M42" s="38">
        <v>0.16852630053615419</v>
      </c>
      <c r="O42" s="41">
        <v>1476.5550996309962</v>
      </c>
      <c r="P42" s="39">
        <v>313.55509963099621</v>
      </c>
      <c r="Q42" s="37">
        <v>98.437006642066407</v>
      </c>
      <c r="R42" s="37">
        <v>18.006769507695076</v>
      </c>
      <c r="S42" s="37">
        <v>46.142346863468632</v>
      </c>
      <c r="T42" s="42">
        <v>6.0022565025650252</v>
      </c>
      <c r="V42" s="41">
        <v>3</v>
      </c>
      <c r="W42" s="37">
        <v>6</v>
      </c>
      <c r="X42" s="37">
        <v>14</v>
      </c>
      <c r="Y42" s="42">
        <v>15</v>
      </c>
      <c r="Z42" s="41">
        <v>13</v>
      </c>
      <c r="AA42" s="37">
        <v>33</v>
      </c>
      <c r="AB42" s="37">
        <v>74</v>
      </c>
      <c r="AC42" s="42">
        <v>82</v>
      </c>
      <c r="AD42" s="20"/>
    </row>
    <row r="43" spans="2:30" x14ac:dyDescent="0.3">
      <c r="B43" s="201"/>
      <c r="C43" s="248"/>
      <c r="D43" s="43" t="s">
        <v>57</v>
      </c>
      <c r="E43" s="44">
        <v>18</v>
      </c>
      <c r="F43" s="45">
        <v>79</v>
      </c>
      <c r="G43" s="46">
        <v>53</v>
      </c>
      <c r="H43" s="47">
        <v>14139</v>
      </c>
      <c r="I43" s="48">
        <v>44</v>
      </c>
      <c r="J43" s="49">
        <v>6.4262076920874331E-3</v>
      </c>
      <c r="K43" s="50">
        <v>1786</v>
      </c>
      <c r="L43" s="51">
        <v>3</v>
      </c>
      <c r="M43" s="49">
        <v>0.1543113875928806</v>
      </c>
      <c r="O43" s="52">
        <v>2267.5214169741698</v>
      </c>
      <c r="P43" s="50">
        <v>481.52141697416982</v>
      </c>
      <c r="Q43" s="48">
        <v>125.97341205412054</v>
      </c>
      <c r="R43" s="48">
        <v>28.702802746508478</v>
      </c>
      <c r="S43" s="48">
        <v>42.783422961776786</v>
      </c>
      <c r="T43" s="53">
        <v>9.5676009155028261</v>
      </c>
      <c r="V43" s="52">
        <v>3</v>
      </c>
      <c r="W43" s="48">
        <v>8</v>
      </c>
      <c r="X43" s="48">
        <v>17</v>
      </c>
      <c r="Y43" s="53">
        <v>18</v>
      </c>
      <c r="Z43" s="52">
        <v>12</v>
      </c>
      <c r="AA43" s="48">
        <v>32</v>
      </c>
      <c r="AB43" s="48">
        <v>72</v>
      </c>
      <c r="AC43" s="53">
        <v>79</v>
      </c>
      <c r="AD43" s="20"/>
    </row>
    <row r="44" spans="2:30" x14ac:dyDescent="0.3">
      <c r="B44" s="201"/>
      <c r="C44" s="248"/>
      <c r="D44" s="32" t="s">
        <v>58</v>
      </c>
      <c r="E44" s="33">
        <v>8</v>
      </c>
      <c r="F44" s="34">
        <v>21</v>
      </c>
      <c r="G44" s="35">
        <v>21</v>
      </c>
      <c r="H44" s="36">
        <v>5517</v>
      </c>
      <c r="I44" s="37">
        <v>132</v>
      </c>
      <c r="J44" s="38">
        <v>2.5074890612664523E-3</v>
      </c>
      <c r="K44" s="39">
        <v>262</v>
      </c>
      <c r="L44" s="40">
        <v>5</v>
      </c>
      <c r="M44" s="38">
        <v>5.9626763768775605E-2</v>
      </c>
      <c r="O44" s="41">
        <v>332.63752029520293</v>
      </c>
      <c r="P44" s="39">
        <v>70.637520295202933</v>
      </c>
      <c r="Q44" s="37">
        <v>41.579690036900367</v>
      </c>
      <c r="R44" s="37">
        <v>15.839881918819188</v>
      </c>
      <c r="S44" s="37">
        <v>15.839881918819188</v>
      </c>
      <c r="T44" s="42">
        <v>5.2799606396063963</v>
      </c>
      <c r="V44" s="41">
        <v>2</v>
      </c>
      <c r="W44" s="37">
        <v>4</v>
      </c>
      <c r="X44" s="37">
        <v>8</v>
      </c>
      <c r="Y44" s="42">
        <v>8</v>
      </c>
      <c r="Z44" s="41">
        <v>4</v>
      </c>
      <c r="AA44" s="37">
        <v>9</v>
      </c>
      <c r="AB44" s="37">
        <v>19</v>
      </c>
      <c r="AC44" s="42">
        <v>21</v>
      </c>
      <c r="AD44" s="20"/>
    </row>
    <row r="45" spans="2:30" x14ac:dyDescent="0.3">
      <c r="B45" s="201"/>
      <c r="C45" s="248"/>
      <c r="D45" s="43" t="s">
        <v>59</v>
      </c>
      <c r="E45" s="44">
        <v>19</v>
      </c>
      <c r="F45" s="45">
        <v>103</v>
      </c>
      <c r="G45" s="46">
        <v>62</v>
      </c>
      <c r="H45" s="47">
        <v>16706</v>
      </c>
      <c r="I45" s="48">
        <v>36</v>
      </c>
      <c r="J45" s="49">
        <v>7.5929150367078767E-3</v>
      </c>
      <c r="K45" s="50">
        <v>1235</v>
      </c>
      <c r="L45" s="51">
        <v>2</v>
      </c>
      <c r="M45" s="49">
        <v>8.8264722698684961E-2</v>
      </c>
      <c r="O45" s="52">
        <v>1567.9669372693727</v>
      </c>
      <c r="P45" s="50">
        <v>332.96693726937269</v>
      </c>
      <c r="Q45" s="48">
        <v>82.524575645756457</v>
      </c>
      <c r="R45" s="48">
        <v>15.222979973489055</v>
      </c>
      <c r="S45" s="48">
        <v>25.289789310796333</v>
      </c>
      <c r="T45" s="53">
        <v>5.0743266578296851</v>
      </c>
      <c r="V45" s="52">
        <v>3</v>
      </c>
      <c r="W45" s="48">
        <v>8</v>
      </c>
      <c r="X45" s="48">
        <v>18</v>
      </c>
      <c r="Y45" s="53">
        <v>19</v>
      </c>
      <c r="Z45" s="52">
        <v>16</v>
      </c>
      <c r="AA45" s="48">
        <v>42</v>
      </c>
      <c r="AB45" s="48">
        <v>93</v>
      </c>
      <c r="AC45" s="53">
        <v>103</v>
      </c>
      <c r="AD45" s="20"/>
    </row>
    <row r="46" spans="2:30" x14ac:dyDescent="0.3">
      <c r="B46" s="201"/>
      <c r="C46" s="248"/>
      <c r="D46" s="32" t="s">
        <v>60</v>
      </c>
      <c r="E46" s="33">
        <v>7</v>
      </c>
      <c r="F46" s="34">
        <v>27</v>
      </c>
      <c r="G46" s="35">
        <v>19</v>
      </c>
      <c r="H46" s="36">
        <v>5146</v>
      </c>
      <c r="I46" s="37">
        <v>142</v>
      </c>
      <c r="J46" s="38">
        <v>2.3388687165628356E-3</v>
      </c>
      <c r="K46" s="39">
        <v>273</v>
      </c>
      <c r="L46" s="40">
        <v>5</v>
      </c>
      <c r="M46" s="38">
        <v>6.6278222869628547E-2</v>
      </c>
      <c r="O46" s="41">
        <v>346.60321771217713</v>
      </c>
      <c r="P46" s="39">
        <v>73.603217712177127</v>
      </c>
      <c r="Q46" s="37">
        <v>49.514745387453878</v>
      </c>
      <c r="R46" s="37">
        <v>12.837156211562116</v>
      </c>
      <c r="S46" s="37">
        <v>18.242274616430375</v>
      </c>
      <c r="T46" s="42">
        <v>4.2790520705207049</v>
      </c>
      <c r="V46" s="41">
        <v>2</v>
      </c>
      <c r="W46" s="37">
        <v>3</v>
      </c>
      <c r="X46" s="37">
        <v>7</v>
      </c>
      <c r="Y46" s="42">
        <v>7</v>
      </c>
      <c r="Z46" s="41">
        <v>5</v>
      </c>
      <c r="AA46" s="37">
        <v>11</v>
      </c>
      <c r="AB46" s="37">
        <v>25</v>
      </c>
      <c r="AC46" s="42">
        <v>27</v>
      </c>
      <c r="AD46" s="20"/>
    </row>
    <row r="47" spans="2:30" x14ac:dyDescent="0.3">
      <c r="B47" s="201"/>
      <c r="C47" s="248"/>
      <c r="D47" s="43" t="s">
        <v>61</v>
      </c>
      <c r="E47" s="44">
        <v>12</v>
      </c>
      <c r="F47" s="45">
        <v>21</v>
      </c>
      <c r="G47" s="46">
        <v>18</v>
      </c>
      <c r="H47" s="47">
        <v>4880</v>
      </c>
      <c r="I47" s="48">
        <v>147</v>
      </c>
      <c r="J47" s="49">
        <v>2.2179711109262803E-3</v>
      </c>
      <c r="K47" s="50">
        <v>307</v>
      </c>
      <c r="L47" s="51">
        <v>5</v>
      </c>
      <c r="M47" s="49">
        <v>7.6539516330092247E-2</v>
      </c>
      <c r="O47" s="52">
        <v>389.76991881918815</v>
      </c>
      <c r="P47" s="50">
        <v>82.769918819188149</v>
      </c>
      <c r="Q47" s="48">
        <v>32.480826568265677</v>
      </c>
      <c r="R47" s="48">
        <v>18.560472324723246</v>
      </c>
      <c r="S47" s="48">
        <v>21.653884378843784</v>
      </c>
      <c r="T47" s="53">
        <v>6.1868241082410824</v>
      </c>
      <c r="V47" s="52">
        <v>2</v>
      </c>
      <c r="W47" s="48">
        <v>5</v>
      </c>
      <c r="X47" s="48">
        <v>11</v>
      </c>
      <c r="Y47" s="53">
        <v>12</v>
      </c>
      <c r="Z47" s="52">
        <v>4</v>
      </c>
      <c r="AA47" s="48">
        <v>9</v>
      </c>
      <c r="AB47" s="48">
        <v>19</v>
      </c>
      <c r="AC47" s="53">
        <v>21</v>
      </c>
      <c r="AD47" s="20"/>
    </row>
    <row r="48" spans="2:30" x14ac:dyDescent="0.3">
      <c r="B48" s="201"/>
      <c r="C48" s="248"/>
      <c r="D48" s="32" t="s">
        <v>62</v>
      </c>
      <c r="E48" s="33">
        <v>7</v>
      </c>
      <c r="F48" s="34">
        <v>30</v>
      </c>
      <c r="G48" s="35">
        <v>35</v>
      </c>
      <c r="H48" s="36">
        <v>9434</v>
      </c>
      <c r="I48" s="37">
        <v>71</v>
      </c>
      <c r="J48" s="38">
        <v>4.2877744796062552E-3</v>
      </c>
      <c r="K48" s="39">
        <v>668</v>
      </c>
      <c r="L48" s="40">
        <v>4</v>
      </c>
      <c r="M48" s="38">
        <v>8.6338374046788166E-2</v>
      </c>
      <c r="O48" s="41">
        <v>848.09871586715872</v>
      </c>
      <c r="P48" s="39">
        <v>180.09871586715872</v>
      </c>
      <c r="Q48" s="37">
        <v>121.15695940959411</v>
      </c>
      <c r="R48" s="37">
        <v>28.269957195571958</v>
      </c>
      <c r="S48" s="37">
        <v>24.231391881918821</v>
      </c>
      <c r="T48" s="42">
        <v>9.4233190651906522</v>
      </c>
      <c r="V48" s="41">
        <v>2</v>
      </c>
      <c r="W48" s="37">
        <v>3</v>
      </c>
      <c r="X48" s="37">
        <v>7</v>
      </c>
      <c r="Y48" s="42">
        <v>7</v>
      </c>
      <c r="Z48" s="41">
        <v>5</v>
      </c>
      <c r="AA48" s="37">
        <v>12</v>
      </c>
      <c r="AB48" s="37">
        <v>27</v>
      </c>
      <c r="AC48" s="42">
        <v>30</v>
      </c>
      <c r="AD48" s="20"/>
    </row>
    <row r="49" spans="2:30" x14ac:dyDescent="0.3">
      <c r="B49" s="201"/>
      <c r="C49" s="248"/>
      <c r="D49" s="43" t="s">
        <v>63</v>
      </c>
      <c r="E49" s="44">
        <v>10</v>
      </c>
      <c r="F49" s="45">
        <v>37</v>
      </c>
      <c r="G49" s="46">
        <v>30</v>
      </c>
      <c r="H49" s="47">
        <v>7856</v>
      </c>
      <c r="I49" s="48">
        <v>88</v>
      </c>
      <c r="J49" s="49">
        <v>3.5705698867698477E-3</v>
      </c>
      <c r="K49" s="50">
        <v>472</v>
      </c>
      <c r="L49" s="51">
        <v>5</v>
      </c>
      <c r="M49" s="49">
        <v>7.5616789490547898E-2</v>
      </c>
      <c r="O49" s="52">
        <v>599.25538007380078</v>
      </c>
      <c r="P49" s="50">
        <v>127.25538007380078</v>
      </c>
      <c r="Q49" s="48">
        <v>59.925538007380077</v>
      </c>
      <c r="R49" s="48">
        <v>16.196091353345967</v>
      </c>
      <c r="S49" s="48">
        <v>19.97517933579336</v>
      </c>
      <c r="T49" s="53">
        <v>5.3986971177819889</v>
      </c>
      <c r="V49" s="52">
        <v>2</v>
      </c>
      <c r="W49" s="48">
        <v>4</v>
      </c>
      <c r="X49" s="48">
        <v>9</v>
      </c>
      <c r="Y49" s="53">
        <v>10</v>
      </c>
      <c r="Z49" s="52">
        <v>6</v>
      </c>
      <c r="AA49" s="48">
        <v>15</v>
      </c>
      <c r="AB49" s="48">
        <v>34</v>
      </c>
      <c r="AC49" s="53">
        <v>37</v>
      </c>
      <c r="AD49" s="20"/>
    </row>
    <row r="50" spans="2:30" x14ac:dyDescent="0.3">
      <c r="B50" s="201"/>
      <c r="C50" s="251"/>
      <c r="D50" s="75" t="s">
        <v>27</v>
      </c>
      <c r="E50" s="76">
        <v>146</v>
      </c>
      <c r="F50" s="77">
        <v>617</v>
      </c>
      <c r="G50" s="78">
        <v>417</v>
      </c>
      <c r="H50" s="79">
        <v>111031</v>
      </c>
      <c r="I50" s="80">
        <v>8</v>
      </c>
      <c r="J50" s="81">
        <v>5.0463842298617993E-2</v>
      </c>
      <c r="K50" s="82">
        <f>SUM(K39:K49)</f>
        <v>10353</v>
      </c>
      <c r="L50" s="83">
        <v>4</v>
      </c>
      <c r="M50" s="84">
        <v>0.11359696284754987</v>
      </c>
      <c r="N50" s="65"/>
      <c r="O50" s="85">
        <v>13144.260487084872</v>
      </c>
      <c r="P50" s="82">
        <v>2791.2604870848709</v>
      </c>
      <c r="Q50" s="70">
        <v>90.029181418389527</v>
      </c>
      <c r="R50" s="70">
        <v>21.303501599813405</v>
      </c>
      <c r="S50" s="70">
        <v>31.52100836231384</v>
      </c>
      <c r="T50" s="71">
        <v>7.1011671999378017</v>
      </c>
      <c r="U50" s="65"/>
      <c r="V50" s="69">
        <v>28</v>
      </c>
      <c r="W50" s="70">
        <v>63</v>
      </c>
      <c r="X50" s="70">
        <v>138</v>
      </c>
      <c r="Y50" s="71">
        <v>146</v>
      </c>
      <c r="Z50" s="69">
        <v>98</v>
      </c>
      <c r="AA50" s="70">
        <v>252</v>
      </c>
      <c r="AB50" s="70">
        <v>559</v>
      </c>
      <c r="AC50" s="71">
        <v>617</v>
      </c>
      <c r="AD50" s="20"/>
    </row>
    <row r="51" spans="2:30" x14ac:dyDescent="0.3">
      <c r="B51" s="202"/>
      <c r="C51" s="252" t="s">
        <v>64</v>
      </c>
      <c r="D51" s="253"/>
      <c r="E51" s="95">
        <v>418</v>
      </c>
      <c r="F51" s="96">
        <v>1573</v>
      </c>
      <c r="G51" s="97">
        <v>1334</v>
      </c>
      <c r="H51" s="98">
        <v>351357</v>
      </c>
      <c r="I51" s="99">
        <v>1</v>
      </c>
      <c r="J51" s="100">
        <v>0.15969255647986169</v>
      </c>
      <c r="K51" s="101">
        <f>K14+K22+K29+K38+K50</f>
        <v>33875</v>
      </c>
      <c r="L51" s="102">
        <v>3</v>
      </c>
      <c r="M51" s="103">
        <v>0.12059881092242515</v>
      </c>
      <c r="N51" s="65"/>
      <c r="O51" s="104">
        <v>43008</v>
      </c>
      <c r="P51" s="101">
        <v>9132.9999999999982</v>
      </c>
      <c r="Q51" s="105">
        <v>102.88995215311004</v>
      </c>
      <c r="R51" s="105">
        <v>27.341385886840431</v>
      </c>
      <c r="S51" s="105">
        <v>32.239880059970012</v>
      </c>
      <c r="T51" s="106">
        <v>9.1137952956134765</v>
      </c>
      <c r="U51" s="65"/>
      <c r="V51" s="107">
        <v>78</v>
      </c>
      <c r="W51" s="105">
        <v>184</v>
      </c>
      <c r="X51" s="105">
        <v>398</v>
      </c>
      <c r="Y51" s="106">
        <v>418</v>
      </c>
      <c r="Z51" s="107">
        <v>253</v>
      </c>
      <c r="AA51" s="105">
        <v>643</v>
      </c>
      <c r="AB51" s="105">
        <v>1431</v>
      </c>
      <c r="AC51" s="106">
        <v>1573</v>
      </c>
      <c r="AD51" s="20"/>
    </row>
    <row r="52" spans="2:30" x14ac:dyDescent="0.3">
      <c r="B52" s="200" t="s">
        <v>238</v>
      </c>
      <c r="C52" s="250" t="s">
        <v>65</v>
      </c>
      <c r="D52" s="21" t="s">
        <v>66</v>
      </c>
      <c r="E52" s="22">
        <v>15</v>
      </c>
      <c r="F52" s="23">
        <v>35</v>
      </c>
      <c r="G52" s="24">
        <v>66</v>
      </c>
      <c r="H52" s="25">
        <v>17413</v>
      </c>
      <c r="I52" s="26">
        <v>30</v>
      </c>
      <c r="J52" s="27">
        <v>7.9142481464260887E-3</v>
      </c>
      <c r="K52" s="28">
        <v>1039</v>
      </c>
      <c r="L52" s="29">
        <v>6</v>
      </c>
      <c r="M52" s="27">
        <v>7.7979585709996996E-2</v>
      </c>
      <c r="O52" s="30">
        <v>1407.9491289747089</v>
      </c>
      <c r="P52" s="28">
        <v>368.94912897470886</v>
      </c>
      <c r="Q52" s="26">
        <v>93.863275264980587</v>
      </c>
      <c r="R52" s="26">
        <v>40.227117970705969</v>
      </c>
      <c r="S52" s="26">
        <v>21.332562560222861</v>
      </c>
      <c r="T52" s="31">
        <v>13.409039323568656</v>
      </c>
      <c r="V52" s="30">
        <v>3</v>
      </c>
      <c r="W52" s="26">
        <v>6</v>
      </c>
      <c r="X52" s="26">
        <v>14</v>
      </c>
      <c r="Y52" s="31">
        <v>15</v>
      </c>
      <c r="Z52" s="30">
        <v>6</v>
      </c>
      <c r="AA52" s="26">
        <v>14</v>
      </c>
      <c r="AB52" s="26">
        <v>32</v>
      </c>
      <c r="AC52" s="31">
        <v>35</v>
      </c>
      <c r="AD52" s="20"/>
    </row>
    <row r="53" spans="2:30" x14ac:dyDescent="0.3">
      <c r="B53" s="201"/>
      <c r="C53" s="248"/>
      <c r="D53" s="32" t="s">
        <v>67</v>
      </c>
      <c r="E53" s="33">
        <v>30</v>
      </c>
      <c r="F53" s="34">
        <v>81</v>
      </c>
      <c r="G53" s="35">
        <v>44</v>
      </c>
      <c r="H53" s="36">
        <v>10234</v>
      </c>
      <c r="I53" s="37">
        <v>64</v>
      </c>
      <c r="J53" s="38">
        <v>4.6513763010695803E-3</v>
      </c>
      <c r="K53" s="39">
        <v>887</v>
      </c>
      <c r="L53" s="40">
        <v>5</v>
      </c>
      <c r="M53" s="38">
        <v>0.10693188667872212</v>
      </c>
      <c r="O53" s="41">
        <v>1201.973895476965</v>
      </c>
      <c r="P53" s="39">
        <v>314.97389547696503</v>
      </c>
      <c r="Q53" s="37">
        <v>40.065796515898832</v>
      </c>
      <c r="R53" s="37">
        <v>14.839183894777346</v>
      </c>
      <c r="S53" s="37">
        <v>27.317588533567388</v>
      </c>
      <c r="T53" s="42">
        <v>4.9463946315924483</v>
      </c>
      <c r="V53" s="41">
        <v>5</v>
      </c>
      <c r="W53" s="37">
        <v>12</v>
      </c>
      <c r="X53" s="37">
        <v>27</v>
      </c>
      <c r="Y53" s="42">
        <v>30</v>
      </c>
      <c r="Z53" s="41">
        <v>13</v>
      </c>
      <c r="AA53" s="37">
        <v>33</v>
      </c>
      <c r="AB53" s="37">
        <v>73</v>
      </c>
      <c r="AC53" s="42">
        <v>81</v>
      </c>
      <c r="AD53" s="20"/>
    </row>
    <row r="54" spans="2:30" x14ac:dyDescent="0.3">
      <c r="B54" s="201"/>
      <c r="C54" s="248"/>
      <c r="D54" s="43" t="s">
        <v>68</v>
      </c>
      <c r="E54" s="44">
        <v>32</v>
      </c>
      <c r="F54" s="45">
        <v>190</v>
      </c>
      <c r="G54" s="46">
        <v>43</v>
      </c>
      <c r="H54" s="47">
        <v>11161</v>
      </c>
      <c r="I54" s="48">
        <v>60</v>
      </c>
      <c r="J54" s="49">
        <v>5.0726999116902077E-3</v>
      </c>
      <c r="K54" s="50">
        <v>918</v>
      </c>
      <c r="L54" s="51">
        <v>5</v>
      </c>
      <c r="M54" s="49">
        <v>8.9947089947089942E-2</v>
      </c>
      <c r="O54" s="52">
        <v>1243.9820023087418</v>
      </c>
      <c r="P54" s="50">
        <v>325.98200230874181</v>
      </c>
      <c r="Q54" s="48">
        <v>38.874437572148182</v>
      </c>
      <c r="R54" s="48">
        <v>6.547273696361799</v>
      </c>
      <c r="S54" s="48">
        <v>28.929814007180042</v>
      </c>
      <c r="T54" s="53">
        <v>2.1824245654539332</v>
      </c>
      <c r="V54" s="52">
        <v>5</v>
      </c>
      <c r="W54" s="48">
        <v>13</v>
      </c>
      <c r="X54" s="48">
        <v>29</v>
      </c>
      <c r="Y54" s="53">
        <v>32</v>
      </c>
      <c r="Z54" s="52">
        <v>29</v>
      </c>
      <c r="AA54" s="48">
        <v>76</v>
      </c>
      <c r="AB54" s="48">
        <v>171</v>
      </c>
      <c r="AC54" s="53">
        <v>190</v>
      </c>
      <c r="AD54" s="20"/>
    </row>
    <row r="55" spans="2:30" x14ac:dyDescent="0.3">
      <c r="B55" s="201"/>
      <c r="C55" s="248"/>
      <c r="D55" s="32" t="s">
        <v>69</v>
      </c>
      <c r="E55" s="33">
        <v>18</v>
      </c>
      <c r="F55" s="34">
        <v>37</v>
      </c>
      <c r="G55" s="35">
        <v>14</v>
      </c>
      <c r="H55" s="36">
        <v>3519</v>
      </c>
      <c r="I55" s="37">
        <v>173</v>
      </c>
      <c r="J55" s="38">
        <v>1.5993935121617993E-3</v>
      </c>
      <c r="K55" s="39">
        <v>262</v>
      </c>
      <c r="L55" s="40">
        <v>5</v>
      </c>
      <c r="M55" s="38">
        <v>8.890397013912453E-2</v>
      </c>
      <c r="O55" s="41">
        <v>355.03625773953195</v>
      </c>
      <c r="P55" s="39">
        <v>93.036257739531948</v>
      </c>
      <c r="Q55" s="37">
        <v>19.724236541085109</v>
      </c>
      <c r="R55" s="37">
        <v>9.595574533500864</v>
      </c>
      <c r="S55" s="37">
        <v>25.359732695680854</v>
      </c>
      <c r="T55" s="42">
        <v>3.1985248445002878</v>
      </c>
      <c r="V55" s="41">
        <v>3</v>
      </c>
      <c r="W55" s="37">
        <v>8</v>
      </c>
      <c r="X55" s="37">
        <v>17</v>
      </c>
      <c r="Y55" s="42">
        <v>18</v>
      </c>
      <c r="Z55" s="41">
        <v>6</v>
      </c>
      <c r="AA55" s="37">
        <v>15</v>
      </c>
      <c r="AB55" s="37">
        <v>34</v>
      </c>
      <c r="AC55" s="42">
        <v>37</v>
      </c>
      <c r="AD55" s="20"/>
    </row>
    <row r="56" spans="2:30" x14ac:dyDescent="0.3">
      <c r="B56" s="201"/>
      <c r="C56" s="248"/>
      <c r="D56" s="43" t="s">
        <v>70</v>
      </c>
      <c r="E56" s="44">
        <v>21</v>
      </c>
      <c r="F56" s="45">
        <v>105</v>
      </c>
      <c r="G56" s="46">
        <v>71</v>
      </c>
      <c r="H56" s="47">
        <v>18480</v>
      </c>
      <c r="I56" s="48">
        <v>28</v>
      </c>
      <c r="J56" s="49">
        <v>8.3992020758027995E-3</v>
      </c>
      <c r="K56" s="50">
        <v>1770</v>
      </c>
      <c r="L56" s="51">
        <v>4</v>
      </c>
      <c r="M56" s="49">
        <v>0.11353431686978832</v>
      </c>
      <c r="O56" s="52">
        <v>2398.5273900724105</v>
      </c>
      <c r="P56" s="50">
        <v>628.52739007241053</v>
      </c>
      <c r="Q56" s="48">
        <v>114.21559000344811</v>
      </c>
      <c r="R56" s="48">
        <v>22.843118000689625</v>
      </c>
      <c r="S56" s="48">
        <v>33.782075916512824</v>
      </c>
      <c r="T56" s="53">
        <v>7.6143726668965419</v>
      </c>
      <c r="V56" s="52">
        <v>4</v>
      </c>
      <c r="W56" s="48">
        <v>9</v>
      </c>
      <c r="X56" s="48">
        <v>19</v>
      </c>
      <c r="Y56" s="53">
        <v>21</v>
      </c>
      <c r="Z56" s="52">
        <v>16</v>
      </c>
      <c r="AA56" s="48">
        <v>42</v>
      </c>
      <c r="AB56" s="48">
        <v>95</v>
      </c>
      <c r="AC56" s="53">
        <v>105</v>
      </c>
      <c r="AD56" s="20"/>
    </row>
    <row r="57" spans="2:30" x14ac:dyDescent="0.3">
      <c r="B57" s="201"/>
      <c r="C57" s="248"/>
      <c r="D57" s="32" t="s">
        <v>71</v>
      </c>
      <c r="E57" s="33">
        <v>31</v>
      </c>
      <c r="F57" s="34">
        <v>183</v>
      </c>
      <c r="G57" s="35">
        <v>134</v>
      </c>
      <c r="H57" s="36">
        <v>35739</v>
      </c>
      <c r="I57" s="37">
        <v>10</v>
      </c>
      <c r="J57" s="38">
        <v>1.6243456871597197E-2</v>
      </c>
      <c r="K57" s="39">
        <v>6008</v>
      </c>
      <c r="L57" s="40">
        <v>1</v>
      </c>
      <c r="M57" s="38">
        <v>0.20521929225304003</v>
      </c>
      <c r="O57" s="41">
        <v>8141.4421240423972</v>
      </c>
      <c r="P57" s="39">
        <v>2133.4421240423972</v>
      </c>
      <c r="Q57" s="37">
        <v>262.62716529169023</v>
      </c>
      <c r="R57" s="37">
        <v>44.48875477618796</v>
      </c>
      <c r="S57" s="37">
        <v>60.757030776435798</v>
      </c>
      <c r="T57" s="42">
        <v>14.829584925395986</v>
      </c>
      <c r="V57" s="41">
        <v>5</v>
      </c>
      <c r="W57" s="37">
        <v>13</v>
      </c>
      <c r="X57" s="37">
        <v>28</v>
      </c>
      <c r="Y57" s="42">
        <v>31</v>
      </c>
      <c r="Z57" s="41">
        <v>28</v>
      </c>
      <c r="AA57" s="37">
        <v>74</v>
      </c>
      <c r="AB57" s="37">
        <v>165</v>
      </c>
      <c r="AC57" s="42">
        <v>183</v>
      </c>
      <c r="AD57" s="20"/>
    </row>
    <row r="58" spans="2:30" x14ac:dyDescent="0.3">
      <c r="B58" s="201"/>
      <c r="C58" s="248"/>
      <c r="D58" s="43" t="s">
        <v>72</v>
      </c>
      <c r="E58" s="44">
        <v>43</v>
      </c>
      <c r="F58" s="45">
        <v>313</v>
      </c>
      <c r="G58" s="46">
        <v>281</v>
      </c>
      <c r="H58" s="47">
        <v>75700</v>
      </c>
      <c r="I58" s="48">
        <v>1</v>
      </c>
      <c r="J58" s="49">
        <v>3.4405822355967092E-2</v>
      </c>
      <c r="K58" s="50">
        <v>11598</v>
      </c>
      <c r="L58" s="51">
        <v>1</v>
      </c>
      <c r="M58" s="49">
        <v>0.20055334601417948</v>
      </c>
      <c r="O58" s="52">
        <v>15716.452355965997</v>
      </c>
      <c r="P58" s="50">
        <v>4118.4523559659974</v>
      </c>
      <c r="Q58" s="48">
        <v>365.49889199920926</v>
      </c>
      <c r="R58" s="48">
        <v>50.212307846536731</v>
      </c>
      <c r="S58" s="48">
        <v>55.930435430483975</v>
      </c>
      <c r="T58" s="53">
        <v>16.737435948845576</v>
      </c>
      <c r="V58" s="52">
        <v>7</v>
      </c>
      <c r="W58" s="48">
        <v>18</v>
      </c>
      <c r="X58" s="48">
        <v>39</v>
      </c>
      <c r="Y58" s="53">
        <v>43</v>
      </c>
      <c r="Z58" s="52">
        <v>47</v>
      </c>
      <c r="AA58" s="48">
        <v>126</v>
      </c>
      <c r="AB58" s="48">
        <v>282</v>
      </c>
      <c r="AC58" s="53">
        <v>313</v>
      </c>
      <c r="AD58" s="20"/>
    </row>
    <row r="59" spans="2:30" x14ac:dyDescent="0.3">
      <c r="B59" s="201"/>
      <c r="C59" s="251"/>
      <c r="D59" s="75" t="s">
        <v>27</v>
      </c>
      <c r="E59" s="76">
        <v>190</v>
      </c>
      <c r="F59" s="77">
        <v>944</v>
      </c>
      <c r="G59" s="78">
        <v>653</v>
      </c>
      <c r="H59" s="79">
        <v>172246</v>
      </c>
      <c r="I59" s="80">
        <v>3</v>
      </c>
      <c r="J59" s="81">
        <v>7.8286199174714771E-2</v>
      </c>
      <c r="K59" s="82">
        <f>SUM(K52:K58)</f>
        <v>22482</v>
      </c>
      <c r="L59" s="83">
        <v>2</v>
      </c>
      <c r="M59" s="84">
        <v>0.16354351558180813</v>
      </c>
      <c r="N59" s="65"/>
      <c r="O59" s="85">
        <v>30465.363154580751</v>
      </c>
      <c r="P59" s="82">
        <v>7983.363154580753</v>
      </c>
      <c r="Q59" s="70">
        <v>160.34401660305659</v>
      </c>
      <c r="R59" s="70">
        <v>32.272630460360965</v>
      </c>
      <c r="S59" s="70">
        <v>46.65446118618798</v>
      </c>
      <c r="T59" s="71">
        <v>10.757543486786988</v>
      </c>
      <c r="U59" s="65"/>
      <c r="V59" s="69">
        <v>32</v>
      </c>
      <c r="W59" s="70">
        <v>79</v>
      </c>
      <c r="X59" s="70">
        <v>173</v>
      </c>
      <c r="Y59" s="71">
        <v>190</v>
      </c>
      <c r="Z59" s="69">
        <v>145</v>
      </c>
      <c r="AA59" s="70">
        <v>380</v>
      </c>
      <c r="AB59" s="70">
        <v>852</v>
      </c>
      <c r="AC59" s="71">
        <v>944</v>
      </c>
      <c r="AD59" s="20"/>
    </row>
    <row r="60" spans="2:30" x14ac:dyDescent="0.3">
      <c r="B60" s="201"/>
      <c r="C60" s="247" t="s">
        <v>73</v>
      </c>
      <c r="D60" s="87" t="s">
        <v>74</v>
      </c>
      <c r="E60" s="88">
        <v>10</v>
      </c>
      <c r="F60" s="89">
        <v>20</v>
      </c>
      <c r="G60" s="90">
        <v>25</v>
      </c>
      <c r="H60" s="91">
        <v>6591</v>
      </c>
      <c r="I60" s="73">
        <v>111</v>
      </c>
      <c r="J60" s="92">
        <v>2.9956245065809657E-3</v>
      </c>
      <c r="K60" s="93"/>
      <c r="L60" s="108"/>
      <c r="M60" s="109"/>
      <c r="O60" s="72"/>
      <c r="P60" s="93"/>
      <c r="Q60" s="73"/>
      <c r="R60" s="73"/>
      <c r="S60" s="73"/>
      <c r="T60" s="74"/>
      <c r="V60" s="72">
        <v>2</v>
      </c>
      <c r="W60" s="73">
        <v>4</v>
      </c>
      <c r="X60" s="73">
        <v>9</v>
      </c>
      <c r="Y60" s="74">
        <v>10</v>
      </c>
      <c r="Z60" s="72">
        <v>3</v>
      </c>
      <c r="AA60" s="73">
        <v>8</v>
      </c>
      <c r="AB60" s="73">
        <v>18</v>
      </c>
      <c r="AC60" s="74">
        <v>20</v>
      </c>
      <c r="AD60" s="20"/>
    </row>
    <row r="61" spans="2:30" s="65" customFormat="1" x14ac:dyDescent="0.3">
      <c r="B61" s="201"/>
      <c r="C61" s="248"/>
      <c r="D61" s="32" t="s">
        <v>75</v>
      </c>
      <c r="E61" s="33">
        <v>3</v>
      </c>
      <c r="F61" s="34">
        <v>7</v>
      </c>
      <c r="G61" s="35">
        <v>12</v>
      </c>
      <c r="H61" s="36">
        <v>3193</v>
      </c>
      <c r="I61" s="37">
        <v>178</v>
      </c>
      <c r="J61" s="38">
        <v>1.4512257699154944E-3</v>
      </c>
      <c r="K61" s="39"/>
      <c r="L61" s="110"/>
      <c r="M61" s="111"/>
      <c r="N61"/>
      <c r="O61" s="41"/>
      <c r="P61" s="39"/>
      <c r="Q61" s="37"/>
      <c r="R61" s="37"/>
      <c r="S61" s="37"/>
      <c r="T61" s="42"/>
      <c r="U61"/>
      <c r="V61" s="41">
        <v>1</v>
      </c>
      <c r="W61" s="37">
        <v>2</v>
      </c>
      <c r="X61" s="37">
        <v>3</v>
      </c>
      <c r="Y61" s="42">
        <v>3</v>
      </c>
      <c r="Z61" s="41">
        <v>2</v>
      </c>
      <c r="AA61" s="37">
        <v>3</v>
      </c>
      <c r="AB61" s="37">
        <v>7</v>
      </c>
      <c r="AC61" s="42">
        <v>7</v>
      </c>
      <c r="AD61" s="54"/>
    </row>
    <row r="62" spans="2:30" s="65" customFormat="1" x14ac:dyDescent="0.3">
      <c r="B62" s="201"/>
      <c r="C62" s="248"/>
      <c r="D62" s="43" t="s">
        <v>76</v>
      </c>
      <c r="E62" s="44">
        <v>3</v>
      </c>
      <c r="F62" s="45">
        <v>10</v>
      </c>
      <c r="G62" s="46">
        <v>12</v>
      </c>
      <c r="H62" s="47">
        <v>3290</v>
      </c>
      <c r="I62" s="48">
        <v>175</v>
      </c>
      <c r="J62" s="49">
        <v>1.4953124907679226E-3</v>
      </c>
      <c r="K62" s="50"/>
      <c r="L62" s="112"/>
      <c r="M62" s="113"/>
      <c r="N62"/>
      <c r="O62" s="52"/>
      <c r="P62" s="50"/>
      <c r="Q62" s="48"/>
      <c r="R62" s="48"/>
      <c r="S62" s="48"/>
      <c r="T62" s="53"/>
      <c r="U62"/>
      <c r="V62" s="52">
        <v>1</v>
      </c>
      <c r="W62" s="48">
        <v>2</v>
      </c>
      <c r="X62" s="48">
        <v>3</v>
      </c>
      <c r="Y62" s="53">
        <v>3</v>
      </c>
      <c r="Z62" s="52">
        <v>2</v>
      </c>
      <c r="AA62" s="48">
        <v>4</v>
      </c>
      <c r="AB62" s="48">
        <v>9</v>
      </c>
      <c r="AC62" s="53">
        <v>10</v>
      </c>
      <c r="AD62" s="54"/>
    </row>
    <row r="63" spans="2:30" x14ac:dyDescent="0.3">
      <c r="B63" s="201"/>
      <c r="C63" s="248"/>
      <c r="D63" s="32" t="s">
        <v>77</v>
      </c>
      <c r="E63" s="33">
        <v>12</v>
      </c>
      <c r="F63" s="34">
        <v>29</v>
      </c>
      <c r="G63" s="35">
        <v>24</v>
      </c>
      <c r="H63" s="36">
        <v>6270</v>
      </c>
      <c r="I63" s="37">
        <v>119</v>
      </c>
      <c r="J63" s="38">
        <v>2.8497292757188068E-3</v>
      </c>
      <c r="K63" s="39"/>
      <c r="L63" s="110"/>
      <c r="M63" s="111"/>
      <c r="O63" s="41"/>
      <c r="P63" s="39"/>
      <c r="Q63" s="37"/>
      <c r="R63" s="37"/>
      <c r="S63" s="37"/>
      <c r="T63" s="42"/>
      <c r="V63" s="41">
        <v>2</v>
      </c>
      <c r="W63" s="37">
        <v>5</v>
      </c>
      <c r="X63" s="37">
        <v>11</v>
      </c>
      <c r="Y63" s="42">
        <v>12</v>
      </c>
      <c r="Z63" s="41">
        <v>5</v>
      </c>
      <c r="AA63" s="37">
        <v>12</v>
      </c>
      <c r="AB63" s="37">
        <v>27</v>
      </c>
      <c r="AC63" s="42">
        <v>29</v>
      </c>
      <c r="AD63" s="20"/>
    </row>
    <row r="64" spans="2:30" x14ac:dyDescent="0.3">
      <c r="B64" s="201"/>
      <c r="C64" s="248"/>
      <c r="D64" s="43" t="s">
        <v>78</v>
      </c>
      <c r="E64" s="44">
        <v>3</v>
      </c>
      <c r="F64" s="45">
        <v>10</v>
      </c>
      <c r="G64" s="46">
        <v>19</v>
      </c>
      <c r="H64" s="47">
        <v>5191</v>
      </c>
      <c r="I64" s="48">
        <v>140</v>
      </c>
      <c r="J64" s="49">
        <v>2.3593213190201477E-3</v>
      </c>
      <c r="K64" s="50"/>
      <c r="L64" s="112"/>
      <c r="M64" s="113"/>
      <c r="O64" s="52"/>
      <c r="P64" s="50"/>
      <c r="Q64" s="48"/>
      <c r="R64" s="48"/>
      <c r="S64" s="48"/>
      <c r="T64" s="53"/>
      <c r="V64" s="52">
        <v>1</v>
      </c>
      <c r="W64" s="48">
        <v>2</v>
      </c>
      <c r="X64" s="48">
        <v>3</v>
      </c>
      <c r="Y64" s="53">
        <v>3</v>
      </c>
      <c r="Z64" s="52">
        <v>2</v>
      </c>
      <c r="AA64" s="48">
        <v>4</v>
      </c>
      <c r="AB64" s="48">
        <v>9</v>
      </c>
      <c r="AC64" s="53">
        <v>10</v>
      </c>
      <c r="AD64" s="20"/>
    </row>
    <row r="65" spans="2:30" x14ac:dyDescent="0.3">
      <c r="B65" s="201"/>
      <c r="C65" s="248"/>
      <c r="D65" s="32" t="s">
        <v>79</v>
      </c>
      <c r="E65" s="33">
        <v>8</v>
      </c>
      <c r="F65" s="34">
        <v>39</v>
      </c>
      <c r="G65" s="35">
        <v>75</v>
      </c>
      <c r="H65" s="36">
        <v>20003</v>
      </c>
      <c r="I65" s="37">
        <v>23</v>
      </c>
      <c r="J65" s="38">
        <v>9.0914090434136025E-3</v>
      </c>
      <c r="K65" s="39"/>
      <c r="L65" s="110"/>
      <c r="M65" s="111"/>
      <c r="O65" s="41"/>
      <c r="P65" s="39"/>
      <c r="Q65" s="37"/>
      <c r="R65" s="37"/>
      <c r="S65" s="37"/>
      <c r="T65" s="42"/>
      <c r="V65" s="41">
        <v>2</v>
      </c>
      <c r="W65" s="37">
        <v>4</v>
      </c>
      <c r="X65" s="37">
        <v>8</v>
      </c>
      <c r="Y65" s="42">
        <v>8</v>
      </c>
      <c r="Z65" s="41">
        <v>6</v>
      </c>
      <c r="AA65" s="37">
        <v>16</v>
      </c>
      <c r="AB65" s="37">
        <v>36</v>
      </c>
      <c r="AC65" s="42">
        <v>39</v>
      </c>
      <c r="AD65" s="20"/>
    </row>
    <row r="66" spans="2:30" x14ac:dyDescent="0.3">
      <c r="B66" s="201"/>
      <c r="C66" s="248"/>
      <c r="D66" s="43" t="s">
        <v>80</v>
      </c>
      <c r="E66" s="44">
        <v>8</v>
      </c>
      <c r="F66" s="45">
        <v>14</v>
      </c>
      <c r="G66" s="46">
        <v>35</v>
      </c>
      <c r="H66" s="47">
        <v>9272</v>
      </c>
      <c r="I66" s="48">
        <v>73</v>
      </c>
      <c r="J66" s="49">
        <v>4.2141451107599323E-3</v>
      </c>
      <c r="K66" s="50"/>
      <c r="L66" s="112"/>
      <c r="M66" s="113"/>
      <c r="O66" s="52"/>
      <c r="P66" s="50"/>
      <c r="Q66" s="48"/>
      <c r="R66" s="48"/>
      <c r="S66" s="48"/>
      <c r="T66" s="53"/>
      <c r="V66" s="52">
        <v>2</v>
      </c>
      <c r="W66" s="48">
        <v>4</v>
      </c>
      <c r="X66" s="48">
        <v>8</v>
      </c>
      <c r="Y66" s="53">
        <v>8</v>
      </c>
      <c r="Z66" s="52">
        <v>3</v>
      </c>
      <c r="AA66" s="48">
        <v>6</v>
      </c>
      <c r="AB66" s="48">
        <v>13</v>
      </c>
      <c r="AC66" s="53">
        <v>14</v>
      </c>
      <c r="AD66" s="20"/>
    </row>
    <row r="67" spans="2:30" x14ac:dyDescent="0.3">
      <c r="B67" s="201"/>
      <c r="C67" s="248"/>
      <c r="D67" s="32" t="s">
        <v>81</v>
      </c>
      <c r="E67" s="33">
        <v>12</v>
      </c>
      <c r="F67" s="34">
        <v>27</v>
      </c>
      <c r="G67" s="35">
        <v>73</v>
      </c>
      <c r="H67" s="36">
        <v>19671</v>
      </c>
      <c r="I67" s="37">
        <v>24</v>
      </c>
      <c r="J67" s="38">
        <v>8.9405142875063227E-3</v>
      </c>
      <c r="K67" s="39"/>
      <c r="L67" s="110"/>
      <c r="M67" s="111"/>
      <c r="O67" s="41"/>
      <c r="P67" s="39"/>
      <c r="Q67" s="37"/>
      <c r="R67" s="37"/>
      <c r="S67" s="37"/>
      <c r="T67" s="42"/>
      <c r="V67" s="41">
        <v>2</v>
      </c>
      <c r="W67" s="37">
        <v>5</v>
      </c>
      <c r="X67" s="37">
        <v>11</v>
      </c>
      <c r="Y67" s="42">
        <v>12</v>
      </c>
      <c r="Z67" s="41">
        <v>5</v>
      </c>
      <c r="AA67" s="37">
        <v>11</v>
      </c>
      <c r="AB67" s="37">
        <v>25</v>
      </c>
      <c r="AC67" s="42">
        <v>27</v>
      </c>
      <c r="AD67" s="20"/>
    </row>
    <row r="68" spans="2:30" x14ac:dyDescent="0.3">
      <c r="B68" s="201"/>
      <c r="C68" s="248"/>
      <c r="D68" s="43" t="s">
        <v>82</v>
      </c>
      <c r="E68" s="44">
        <v>9</v>
      </c>
      <c r="F68" s="45">
        <v>44</v>
      </c>
      <c r="G68" s="46">
        <v>65</v>
      </c>
      <c r="H68" s="47">
        <v>17380</v>
      </c>
      <c r="I68" s="48">
        <v>31</v>
      </c>
      <c r="J68" s="49">
        <v>7.8992495712907271E-3</v>
      </c>
      <c r="K68" s="50"/>
      <c r="L68" s="112"/>
      <c r="M68" s="113"/>
      <c r="O68" s="52"/>
      <c r="P68" s="50"/>
      <c r="Q68" s="48"/>
      <c r="R68" s="48"/>
      <c r="S68" s="48"/>
      <c r="T68" s="53"/>
      <c r="V68" s="52">
        <v>2</v>
      </c>
      <c r="W68" s="48">
        <v>4</v>
      </c>
      <c r="X68" s="48">
        <v>9</v>
      </c>
      <c r="Y68" s="53">
        <v>9</v>
      </c>
      <c r="Z68" s="52">
        <v>7</v>
      </c>
      <c r="AA68" s="48">
        <v>18</v>
      </c>
      <c r="AB68" s="48">
        <v>40</v>
      </c>
      <c r="AC68" s="53">
        <v>44</v>
      </c>
      <c r="AD68" s="20"/>
    </row>
    <row r="69" spans="2:30" x14ac:dyDescent="0.3">
      <c r="B69" s="201"/>
      <c r="C69" s="248"/>
      <c r="D69" s="32" t="s">
        <v>83</v>
      </c>
      <c r="E69" s="33">
        <v>22</v>
      </c>
      <c r="F69" s="34">
        <v>151</v>
      </c>
      <c r="G69" s="35">
        <v>135</v>
      </c>
      <c r="H69" s="36">
        <v>36921</v>
      </c>
      <c r="I69" s="37">
        <v>9</v>
      </c>
      <c r="J69" s="38">
        <v>1.6780678562809261E-2</v>
      </c>
      <c r="K69" s="39"/>
      <c r="L69" s="110"/>
      <c r="M69" s="111"/>
      <c r="O69" s="41"/>
      <c r="P69" s="39"/>
      <c r="Q69" s="37"/>
      <c r="R69" s="37"/>
      <c r="S69" s="37"/>
      <c r="T69" s="42"/>
      <c r="V69" s="41">
        <v>4</v>
      </c>
      <c r="W69" s="37">
        <v>9</v>
      </c>
      <c r="X69" s="37">
        <v>20</v>
      </c>
      <c r="Y69" s="42">
        <v>22</v>
      </c>
      <c r="Z69" s="41">
        <v>23</v>
      </c>
      <c r="AA69" s="37">
        <v>61</v>
      </c>
      <c r="AB69" s="37">
        <v>136</v>
      </c>
      <c r="AC69" s="42">
        <v>151</v>
      </c>
      <c r="AD69" s="20"/>
    </row>
    <row r="70" spans="2:30" s="65" customFormat="1" x14ac:dyDescent="0.3">
      <c r="B70" s="201"/>
      <c r="C70" s="248"/>
      <c r="D70" s="43" t="s">
        <v>84</v>
      </c>
      <c r="E70" s="44">
        <v>12</v>
      </c>
      <c r="F70" s="45">
        <v>56</v>
      </c>
      <c r="G70" s="46">
        <v>68</v>
      </c>
      <c r="H70" s="47">
        <v>18459</v>
      </c>
      <c r="I70" s="48">
        <v>29</v>
      </c>
      <c r="J70" s="49">
        <v>8.3896575279893866E-3</v>
      </c>
      <c r="K70" s="50"/>
      <c r="L70" s="112"/>
      <c r="M70" s="113"/>
      <c r="N70"/>
      <c r="O70" s="52"/>
      <c r="P70" s="50"/>
      <c r="Q70" s="48"/>
      <c r="R70" s="48"/>
      <c r="S70" s="48"/>
      <c r="T70" s="53"/>
      <c r="U70"/>
      <c r="V70" s="52">
        <v>2</v>
      </c>
      <c r="W70" s="48">
        <v>5</v>
      </c>
      <c r="X70" s="48">
        <v>11</v>
      </c>
      <c r="Y70" s="53">
        <v>12</v>
      </c>
      <c r="Z70" s="52">
        <v>9</v>
      </c>
      <c r="AA70" s="48">
        <v>23</v>
      </c>
      <c r="AB70" s="48">
        <v>51</v>
      </c>
      <c r="AC70" s="53">
        <v>56</v>
      </c>
      <c r="AD70" s="54"/>
    </row>
    <row r="71" spans="2:30" x14ac:dyDescent="0.3">
      <c r="B71" s="201"/>
      <c r="C71" s="249"/>
      <c r="D71" s="55" t="s">
        <v>27</v>
      </c>
      <c r="E71" s="56">
        <v>102</v>
      </c>
      <c r="F71" s="57">
        <v>407</v>
      </c>
      <c r="G71" s="58">
        <v>543</v>
      </c>
      <c r="H71" s="59">
        <v>146241</v>
      </c>
      <c r="I71" s="60">
        <v>5</v>
      </c>
      <c r="J71" s="61">
        <v>6.6466867465772572E-2</v>
      </c>
      <c r="K71" s="62">
        <v>15634.000000000004</v>
      </c>
      <c r="L71" s="63">
        <v>2</v>
      </c>
      <c r="M71" s="64">
        <v>0.13635570750767514</v>
      </c>
      <c r="N71" s="65"/>
      <c r="O71" s="66">
        <v>21185.636845419245</v>
      </c>
      <c r="P71" s="62">
        <v>5551.6368454192452</v>
      </c>
      <c r="Q71" s="67">
        <v>207.70232201391417</v>
      </c>
      <c r="R71" s="67">
        <v>52.053161782356867</v>
      </c>
      <c r="S71" s="67">
        <v>39.01590579266896</v>
      </c>
      <c r="T71" s="68">
        <v>17.351053927452288</v>
      </c>
      <c r="U71" s="65"/>
      <c r="V71" s="86">
        <v>21</v>
      </c>
      <c r="W71" s="67">
        <v>46</v>
      </c>
      <c r="X71" s="67">
        <v>96</v>
      </c>
      <c r="Y71" s="68">
        <v>102</v>
      </c>
      <c r="Z71" s="86">
        <v>67</v>
      </c>
      <c r="AA71" s="67">
        <v>166</v>
      </c>
      <c r="AB71" s="67">
        <v>371</v>
      </c>
      <c r="AC71" s="68">
        <v>407</v>
      </c>
      <c r="AD71" s="20"/>
    </row>
    <row r="72" spans="2:30" x14ac:dyDescent="0.3">
      <c r="B72" s="202"/>
      <c r="C72" s="254" t="s">
        <v>85</v>
      </c>
      <c r="D72" s="255"/>
      <c r="E72" s="114">
        <v>292</v>
      </c>
      <c r="F72" s="115">
        <v>1351</v>
      </c>
      <c r="G72" s="116">
        <v>1196</v>
      </c>
      <c r="H72" s="117">
        <v>318487</v>
      </c>
      <c r="I72" s="118">
        <v>4</v>
      </c>
      <c r="J72" s="119">
        <v>0.14475306664048734</v>
      </c>
      <c r="K72" s="120">
        <f>K59+K71</f>
        <v>38116</v>
      </c>
      <c r="L72" s="121">
        <v>2</v>
      </c>
      <c r="M72" s="122">
        <v>0.15117957830273993</v>
      </c>
      <c r="N72" s="65"/>
      <c r="O72" s="123">
        <v>51651</v>
      </c>
      <c r="P72" s="120">
        <v>13535</v>
      </c>
      <c r="Q72" s="124">
        <v>176.88698630136986</v>
      </c>
      <c r="R72" s="124">
        <v>38.231680236861585</v>
      </c>
      <c r="S72" s="124">
        <v>43.186454849498325</v>
      </c>
      <c r="T72" s="125">
        <v>12.743893412287195</v>
      </c>
      <c r="U72" s="65"/>
      <c r="V72" s="126">
        <v>53</v>
      </c>
      <c r="W72" s="124">
        <v>125</v>
      </c>
      <c r="X72" s="124">
        <v>269</v>
      </c>
      <c r="Y72" s="125">
        <v>292</v>
      </c>
      <c r="Z72" s="126">
        <v>212</v>
      </c>
      <c r="AA72" s="124">
        <v>546</v>
      </c>
      <c r="AB72" s="124">
        <v>1223</v>
      </c>
      <c r="AC72" s="125">
        <v>1351</v>
      </c>
      <c r="AD72" s="20"/>
    </row>
    <row r="73" spans="2:30" x14ac:dyDescent="0.3">
      <c r="B73" s="200" t="s">
        <v>239</v>
      </c>
      <c r="C73" s="247" t="s">
        <v>86</v>
      </c>
      <c r="D73" s="87" t="s">
        <v>87</v>
      </c>
      <c r="E73" s="88">
        <v>19</v>
      </c>
      <c r="F73" s="89">
        <v>165</v>
      </c>
      <c r="G73" s="90">
        <v>207</v>
      </c>
      <c r="H73" s="91">
        <v>55395</v>
      </c>
      <c r="I73" s="73">
        <v>5</v>
      </c>
      <c r="J73" s="92">
        <v>2.5177153624951085E-2</v>
      </c>
      <c r="K73" s="93">
        <v>8970</v>
      </c>
      <c r="L73" s="94">
        <v>1</v>
      </c>
      <c r="M73" s="92">
        <v>0.22170044488383589</v>
      </c>
      <c r="O73" s="72">
        <v>9738.0787886733087</v>
      </c>
      <c r="P73" s="93">
        <v>768.07878867330874</v>
      </c>
      <c r="Q73" s="73">
        <v>512.5304625617531</v>
      </c>
      <c r="R73" s="73">
        <v>59.018659325292781</v>
      </c>
      <c r="S73" s="73">
        <v>47.043858882479753</v>
      </c>
      <c r="T73" s="74">
        <v>19.672886441764259</v>
      </c>
      <c r="V73" s="72">
        <v>3</v>
      </c>
      <c r="W73" s="73">
        <v>8</v>
      </c>
      <c r="X73" s="73">
        <v>18</v>
      </c>
      <c r="Y73" s="74">
        <v>19</v>
      </c>
      <c r="Z73" s="72">
        <v>25</v>
      </c>
      <c r="AA73" s="73">
        <v>66</v>
      </c>
      <c r="AB73" s="73">
        <v>149</v>
      </c>
      <c r="AC73" s="74">
        <v>165</v>
      </c>
      <c r="AD73" s="20"/>
    </row>
    <row r="74" spans="2:30" x14ac:dyDescent="0.3">
      <c r="B74" s="201"/>
      <c r="C74" s="248"/>
      <c r="D74" s="32" t="s">
        <v>88</v>
      </c>
      <c r="E74" s="33">
        <v>19</v>
      </c>
      <c r="F74" s="34">
        <v>57</v>
      </c>
      <c r="G74" s="35">
        <v>25</v>
      </c>
      <c r="H74" s="36">
        <v>6799</v>
      </c>
      <c r="I74" s="37">
        <v>107</v>
      </c>
      <c r="J74" s="38">
        <v>3.0901609801614301E-3</v>
      </c>
      <c r="K74" s="39">
        <v>735</v>
      </c>
      <c r="L74" s="40">
        <v>2</v>
      </c>
      <c r="M74" s="38">
        <v>0.13344226579520696</v>
      </c>
      <c r="O74" s="41">
        <v>797.9362218143682</v>
      </c>
      <c r="P74" s="39">
        <v>62.936221814368196</v>
      </c>
      <c r="Q74" s="37">
        <v>41.996643253387802</v>
      </c>
      <c r="R74" s="37">
        <v>13.998881084462599</v>
      </c>
      <c r="S74" s="37">
        <v>31.917448872574727</v>
      </c>
      <c r="T74" s="42">
        <v>4.6662936948208662</v>
      </c>
      <c r="V74" s="41">
        <v>3</v>
      </c>
      <c r="W74" s="37">
        <v>8</v>
      </c>
      <c r="X74" s="37">
        <v>18</v>
      </c>
      <c r="Y74" s="42">
        <v>19</v>
      </c>
      <c r="Z74" s="41">
        <v>9</v>
      </c>
      <c r="AA74" s="37">
        <v>23</v>
      </c>
      <c r="AB74" s="37">
        <v>52</v>
      </c>
      <c r="AC74" s="42">
        <v>57</v>
      </c>
      <c r="AD74" s="20"/>
    </row>
    <row r="75" spans="2:30" x14ac:dyDescent="0.3">
      <c r="B75" s="201"/>
      <c r="C75" s="248"/>
      <c r="D75" s="43" t="s">
        <v>89</v>
      </c>
      <c r="E75" s="44">
        <v>20</v>
      </c>
      <c r="F75" s="45">
        <v>63</v>
      </c>
      <c r="G75" s="46">
        <v>43</v>
      </c>
      <c r="H75" s="47">
        <v>11227</v>
      </c>
      <c r="I75" s="48">
        <v>59</v>
      </c>
      <c r="J75" s="49">
        <v>5.1026970619609318E-3</v>
      </c>
      <c r="K75" s="50">
        <v>1270</v>
      </c>
      <c r="L75" s="51">
        <v>2</v>
      </c>
      <c r="M75" s="49">
        <v>0.14284107524462941</v>
      </c>
      <c r="O75" s="52">
        <v>1378.7469410942142</v>
      </c>
      <c r="P75" s="50">
        <v>108.74694109421421</v>
      </c>
      <c r="Q75" s="48">
        <v>68.937347054710713</v>
      </c>
      <c r="R75" s="48">
        <v>21.884872080860543</v>
      </c>
      <c r="S75" s="48">
        <v>32.063882351028241</v>
      </c>
      <c r="T75" s="53">
        <v>7.2949573602868476</v>
      </c>
      <c r="V75" s="52">
        <v>3</v>
      </c>
      <c r="W75" s="48">
        <v>8</v>
      </c>
      <c r="X75" s="48">
        <v>18</v>
      </c>
      <c r="Y75" s="53">
        <v>20</v>
      </c>
      <c r="Z75" s="52">
        <v>10</v>
      </c>
      <c r="AA75" s="48">
        <v>26</v>
      </c>
      <c r="AB75" s="48">
        <v>57</v>
      </c>
      <c r="AC75" s="53">
        <v>63</v>
      </c>
      <c r="AD75" s="20"/>
    </row>
    <row r="76" spans="2:30" x14ac:dyDescent="0.3">
      <c r="B76" s="201"/>
      <c r="C76" s="248"/>
      <c r="D76" s="32" t="s">
        <v>90</v>
      </c>
      <c r="E76" s="33">
        <v>30</v>
      </c>
      <c r="F76" s="34">
        <v>259</v>
      </c>
      <c r="G76" s="35">
        <v>206</v>
      </c>
      <c r="H76" s="36">
        <v>55933</v>
      </c>
      <c r="I76" s="37">
        <v>4</v>
      </c>
      <c r="J76" s="38">
        <v>2.542167584988517E-2</v>
      </c>
      <c r="K76" s="39">
        <v>8055</v>
      </c>
      <c r="L76" s="40">
        <v>1</v>
      </c>
      <c r="M76" s="38">
        <v>0.19728624262166597</v>
      </c>
      <c r="O76" s="41">
        <v>8744.729614577871</v>
      </c>
      <c r="P76" s="39">
        <v>689.72961457787096</v>
      </c>
      <c r="Q76" s="37">
        <v>291.49098715259572</v>
      </c>
      <c r="R76" s="37">
        <v>33.763434805319967</v>
      </c>
      <c r="S76" s="37">
        <v>42.450143760086753</v>
      </c>
      <c r="T76" s="42">
        <v>11.254478268439989</v>
      </c>
      <c r="V76" s="41">
        <v>5</v>
      </c>
      <c r="W76" s="37">
        <v>12</v>
      </c>
      <c r="X76" s="37">
        <v>27</v>
      </c>
      <c r="Y76" s="42">
        <v>30</v>
      </c>
      <c r="Z76" s="41">
        <v>39</v>
      </c>
      <c r="AA76" s="37">
        <v>104</v>
      </c>
      <c r="AB76" s="37">
        <v>234</v>
      </c>
      <c r="AC76" s="42">
        <v>259</v>
      </c>
      <c r="AD76" s="20"/>
    </row>
    <row r="77" spans="2:30" x14ac:dyDescent="0.3">
      <c r="B77" s="201"/>
      <c r="C77" s="248"/>
      <c r="D77" s="43" t="s">
        <v>91</v>
      </c>
      <c r="E77" s="44">
        <v>19</v>
      </c>
      <c r="F77" s="45">
        <v>136</v>
      </c>
      <c r="G77" s="46">
        <v>112</v>
      </c>
      <c r="H77" s="47">
        <v>29006</v>
      </c>
      <c r="I77" s="48">
        <v>15</v>
      </c>
      <c r="J77" s="49">
        <v>1.3183293041706493E-2</v>
      </c>
      <c r="K77" s="50">
        <v>4730</v>
      </c>
      <c r="L77" s="51">
        <v>1</v>
      </c>
      <c r="M77" s="49">
        <v>0.22259871052755423</v>
      </c>
      <c r="O77" s="52">
        <v>5135.0181349414443</v>
      </c>
      <c r="P77" s="50">
        <v>405.01813494144426</v>
      </c>
      <c r="Q77" s="48">
        <v>270.26411236533914</v>
      </c>
      <c r="R77" s="48">
        <v>37.757486286334149</v>
      </c>
      <c r="S77" s="48">
        <v>45.848376204834324</v>
      </c>
      <c r="T77" s="53">
        <v>12.585828762111383</v>
      </c>
      <c r="V77" s="52">
        <v>3</v>
      </c>
      <c r="W77" s="48">
        <v>8</v>
      </c>
      <c r="X77" s="48">
        <v>18</v>
      </c>
      <c r="Y77" s="53">
        <v>19</v>
      </c>
      <c r="Z77" s="52">
        <v>21</v>
      </c>
      <c r="AA77" s="48">
        <v>55</v>
      </c>
      <c r="AB77" s="48">
        <v>123</v>
      </c>
      <c r="AC77" s="53">
        <v>136</v>
      </c>
      <c r="AD77" s="20"/>
    </row>
    <row r="78" spans="2:30" x14ac:dyDescent="0.3">
      <c r="B78" s="201"/>
      <c r="C78" s="248"/>
      <c r="D78" s="32" t="s">
        <v>92</v>
      </c>
      <c r="E78" s="33">
        <v>9</v>
      </c>
      <c r="F78" s="34">
        <v>33</v>
      </c>
      <c r="G78" s="35">
        <v>48</v>
      </c>
      <c r="H78" s="36">
        <v>12783</v>
      </c>
      <c r="I78" s="37">
        <v>47</v>
      </c>
      <c r="J78" s="38">
        <v>5.8099026047070982E-3</v>
      </c>
      <c r="K78" s="39">
        <v>1062</v>
      </c>
      <c r="L78" s="40">
        <v>5</v>
      </c>
      <c r="M78" s="38">
        <v>0.12009499038787742</v>
      </c>
      <c r="O78" s="41">
        <v>1152.9364184583114</v>
      </c>
      <c r="P78" s="39">
        <v>90.936418458311437</v>
      </c>
      <c r="Q78" s="37">
        <v>128.10404649536792</v>
      </c>
      <c r="R78" s="37">
        <v>34.937467226009439</v>
      </c>
      <c r="S78" s="37">
        <v>24.019508717881489</v>
      </c>
      <c r="T78" s="42">
        <v>11.645822408669813</v>
      </c>
      <c r="V78" s="41">
        <v>2</v>
      </c>
      <c r="W78" s="37">
        <v>4</v>
      </c>
      <c r="X78" s="37">
        <v>9</v>
      </c>
      <c r="Y78" s="42">
        <v>9</v>
      </c>
      <c r="Z78" s="41">
        <v>5</v>
      </c>
      <c r="AA78" s="37">
        <v>14</v>
      </c>
      <c r="AB78" s="37">
        <v>30</v>
      </c>
      <c r="AC78" s="42">
        <v>33</v>
      </c>
      <c r="AD78" s="20"/>
    </row>
    <row r="79" spans="2:30" x14ac:dyDescent="0.3">
      <c r="B79" s="201"/>
      <c r="C79" s="248"/>
      <c r="D79" s="43" t="s">
        <v>93</v>
      </c>
      <c r="E79" s="44">
        <v>26</v>
      </c>
      <c r="F79" s="45">
        <v>184</v>
      </c>
      <c r="G79" s="46">
        <v>166</v>
      </c>
      <c r="H79" s="47">
        <v>43336</v>
      </c>
      <c r="I79" s="48">
        <v>7</v>
      </c>
      <c r="J79" s="49">
        <v>1.9696310668668296E-2</v>
      </c>
      <c r="K79" s="50">
        <v>4594</v>
      </c>
      <c r="L79" s="51">
        <v>2</v>
      </c>
      <c r="M79" s="49">
        <v>0.14148008992639585</v>
      </c>
      <c r="O79" s="52">
        <v>4987.372793217969</v>
      </c>
      <c r="P79" s="50">
        <v>393.37279321796905</v>
      </c>
      <c r="Q79" s="48">
        <v>191.82203050838342</v>
      </c>
      <c r="R79" s="48">
        <v>27.105286919662877</v>
      </c>
      <c r="S79" s="48">
        <v>30.044414416975716</v>
      </c>
      <c r="T79" s="53">
        <v>9.0350956398876257</v>
      </c>
      <c r="V79" s="52">
        <v>4</v>
      </c>
      <c r="W79" s="48">
        <v>11</v>
      </c>
      <c r="X79" s="48">
        <v>24</v>
      </c>
      <c r="Y79" s="53">
        <v>26</v>
      </c>
      <c r="Z79" s="52">
        <v>28</v>
      </c>
      <c r="AA79" s="48">
        <v>74</v>
      </c>
      <c r="AB79" s="48">
        <v>166</v>
      </c>
      <c r="AC79" s="53">
        <v>184</v>
      </c>
      <c r="AD79" s="20"/>
    </row>
    <row r="80" spans="2:30" x14ac:dyDescent="0.3">
      <c r="B80" s="201"/>
      <c r="C80" s="248"/>
      <c r="D80" s="32" t="s">
        <v>94</v>
      </c>
      <c r="E80" s="33">
        <v>58</v>
      </c>
      <c r="F80" s="34">
        <v>382</v>
      </c>
      <c r="G80" s="35">
        <v>245</v>
      </c>
      <c r="H80" s="36">
        <v>62986</v>
      </c>
      <c r="I80" s="37">
        <v>3</v>
      </c>
      <c r="J80" s="38">
        <v>2.8627280408361204E-2</v>
      </c>
      <c r="K80" s="39">
        <v>9613</v>
      </c>
      <c r="L80" s="40">
        <v>1</v>
      </c>
      <c r="M80" s="38">
        <v>0.20008325528150692</v>
      </c>
      <c r="O80" s="41">
        <v>10436.137279321798</v>
      </c>
      <c r="P80" s="39">
        <v>823.13727932179791</v>
      </c>
      <c r="Q80" s="37">
        <v>179.93340136761719</v>
      </c>
      <c r="R80" s="37">
        <v>27.319731097701041</v>
      </c>
      <c r="S80" s="37">
        <v>42.596478691109382</v>
      </c>
      <c r="T80" s="42">
        <v>9.1065770325670137</v>
      </c>
      <c r="V80" s="41">
        <v>9</v>
      </c>
      <c r="W80" s="37">
        <v>24</v>
      </c>
      <c r="X80" s="37">
        <v>53</v>
      </c>
      <c r="Y80" s="42">
        <v>58</v>
      </c>
      <c r="Z80" s="41">
        <v>58</v>
      </c>
      <c r="AA80" s="37">
        <v>153</v>
      </c>
      <c r="AB80" s="37">
        <v>344</v>
      </c>
      <c r="AC80" s="42">
        <v>382</v>
      </c>
      <c r="AD80" s="20"/>
    </row>
    <row r="81" spans="2:30" x14ac:dyDescent="0.3">
      <c r="B81" s="201"/>
      <c r="C81" s="248"/>
      <c r="D81" s="43" t="s">
        <v>95</v>
      </c>
      <c r="E81" s="44">
        <v>8</v>
      </c>
      <c r="F81" s="45">
        <v>48</v>
      </c>
      <c r="G81" s="46">
        <v>71</v>
      </c>
      <c r="H81" s="47">
        <v>19131</v>
      </c>
      <c r="I81" s="48">
        <v>26</v>
      </c>
      <c r="J81" s="49">
        <v>8.6950830580185788E-3</v>
      </c>
      <c r="K81" s="50">
        <v>1862</v>
      </c>
      <c r="L81" s="51">
        <v>3</v>
      </c>
      <c r="M81" s="49">
        <v>0.13797702852908483</v>
      </c>
      <c r="O81" s="52">
        <v>2021.4384285963993</v>
      </c>
      <c r="P81" s="50">
        <v>159.43842859639926</v>
      </c>
      <c r="Q81" s="48">
        <v>252.67980357454991</v>
      </c>
      <c r="R81" s="48">
        <v>42.113300595758318</v>
      </c>
      <c r="S81" s="48">
        <v>28.470963783047878</v>
      </c>
      <c r="T81" s="53">
        <v>14.037766865252772</v>
      </c>
      <c r="V81" s="52">
        <v>2</v>
      </c>
      <c r="W81" s="48">
        <v>4</v>
      </c>
      <c r="X81" s="48">
        <v>8</v>
      </c>
      <c r="Y81" s="53">
        <v>8</v>
      </c>
      <c r="Z81" s="52">
        <v>8</v>
      </c>
      <c r="AA81" s="48">
        <v>20</v>
      </c>
      <c r="AB81" s="48">
        <v>44</v>
      </c>
      <c r="AC81" s="53">
        <v>48</v>
      </c>
      <c r="AD81" s="20"/>
    </row>
    <row r="82" spans="2:30" s="65" customFormat="1" x14ac:dyDescent="0.3">
      <c r="B82" s="201"/>
      <c r="C82" s="248"/>
      <c r="D82" s="32" t="s">
        <v>96</v>
      </c>
      <c r="E82" s="33">
        <v>17</v>
      </c>
      <c r="F82" s="34">
        <v>106</v>
      </c>
      <c r="G82" s="35">
        <v>99</v>
      </c>
      <c r="H82" s="36">
        <v>25929</v>
      </c>
      <c r="I82" s="37">
        <v>16</v>
      </c>
      <c r="J82" s="38">
        <v>1.178478953590318E-2</v>
      </c>
      <c r="K82" s="39">
        <v>4877</v>
      </c>
      <c r="L82" s="40">
        <v>1</v>
      </c>
      <c r="M82" s="38">
        <v>0.24139979211008267</v>
      </c>
      <c r="N82"/>
      <c r="O82" s="41">
        <v>5294.6053793043175</v>
      </c>
      <c r="P82" s="39">
        <v>417.60537930431747</v>
      </c>
      <c r="Q82" s="37">
        <v>311.44737525319516</v>
      </c>
      <c r="R82" s="37">
        <v>49.949107351927523</v>
      </c>
      <c r="S82" s="37">
        <v>53.480862417215327</v>
      </c>
      <c r="T82" s="42">
        <v>16.649702450642508</v>
      </c>
      <c r="U82"/>
      <c r="V82" s="41">
        <v>3</v>
      </c>
      <c r="W82" s="37">
        <v>7</v>
      </c>
      <c r="X82" s="37">
        <v>16</v>
      </c>
      <c r="Y82" s="42">
        <v>17</v>
      </c>
      <c r="Z82" s="41">
        <v>16</v>
      </c>
      <c r="AA82" s="37">
        <v>43</v>
      </c>
      <c r="AB82" s="37">
        <v>96</v>
      </c>
      <c r="AC82" s="42">
        <v>106</v>
      </c>
      <c r="AD82" s="54"/>
    </row>
    <row r="83" spans="2:30" s="65" customFormat="1" x14ac:dyDescent="0.3">
      <c r="B83" s="201"/>
      <c r="C83" s="249"/>
      <c r="D83" s="55" t="s">
        <v>27</v>
      </c>
      <c r="E83" s="56">
        <v>225</v>
      </c>
      <c r="F83" s="57">
        <v>1433</v>
      </c>
      <c r="G83" s="58">
        <v>1222</v>
      </c>
      <c r="H83" s="59">
        <v>322525</v>
      </c>
      <c r="I83" s="60">
        <v>1</v>
      </c>
      <c r="J83" s="61">
        <v>0.14658834683432348</v>
      </c>
      <c r="K83" s="62">
        <f>SUM(K73:K82)</f>
        <v>45768</v>
      </c>
      <c r="L83" s="63">
        <v>1</v>
      </c>
      <c r="M83" s="64">
        <v>0.19070476761919047</v>
      </c>
      <c r="O83" s="66">
        <v>49687</v>
      </c>
      <c r="P83" s="62">
        <v>3919</v>
      </c>
      <c r="Q83" s="67">
        <v>220.83111111111111</v>
      </c>
      <c r="R83" s="67">
        <v>34.673412421493367</v>
      </c>
      <c r="S83" s="67">
        <v>40.660392798690673</v>
      </c>
      <c r="T83" s="68">
        <v>11.557804140497788</v>
      </c>
      <c r="V83" s="86">
        <v>37</v>
      </c>
      <c r="W83" s="67">
        <v>94</v>
      </c>
      <c r="X83" s="67">
        <v>209</v>
      </c>
      <c r="Y83" s="68">
        <v>225</v>
      </c>
      <c r="Z83" s="86">
        <v>219</v>
      </c>
      <c r="AA83" s="67">
        <v>578</v>
      </c>
      <c r="AB83" s="67">
        <v>1295</v>
      </c>
      <c r="AC83" s="68">
        <v>1433</v>
      </c>
      <c r="AD83" s="54"/>
    </row>
    <row r="84" spans="2:30" x14ac:dyDescent="0.3">
      <c r="B84" s="202"/>
      <c r="C84" s="254" t="s">
        <v>97</v>
      </c>
      <c r="D84" s="255"/>
      <c r="E84" s="114">
        <v>225</v>
      </c>
      <c r="F84" s="115">
        <v>1433</v>
      </c>
      <c r="G84" s="116">
        <v>1222</v>
      </c>
      <c r="H84" s="117">
        <v>322525</v>
      </c>
      <c r="I84" s="118">
        <v>3</v>
      </c>
      <c r="J84" s="119">
        <v>0.14658834683432348</v>
      </c>
      <c r="K84" s="120">
        <f>K83</f>
        <v>45768</v>
      </c>
      <c r="L84" s="121">
        <v>1</v>
      </c>
      <c r="M84" s="122">
        <v>0.19070476761919047</v>
      </c>
      <c r="N84" s="65"/>
      <c r="O84" s="123">
        <v>49687</v>
      </c>
      <c r="P84" s="120">
        <v>3919</v>
      </c>
      <c r="Q84" s="124">
        <v>220.83111111111111</v>
      </c>
      <c r="R84" s="124">
        <v>34.673412421493367</v>
      </c>
      <c r="S84" s="124">
        <v>40.660392798690673</v>
      </c>
      <c r="T84" s="125">
        <v>11.557804140497788</v>
      </c>
      <c r="U84" s="65"/>
      <c r="V84" s="114">
        <v>37</v>
      </c>
      <c r="W84" s="118">
        <v>94</v>
      </c>
      <c r="X84" s="118">
        <v>209</v>
      </c>
      <c r="Y84" s="115">
        <v>225</v>
      </c>
      <c r="Z84" s="114">
        <v>219</v>
      </c>
      <c r="AA84" s="118">
        <v>578</v>
      </c>
      <c r="AB84" s="118">
        <v>1295</v>
      </c>
      <c r="AC84" s="115">
        <v>1433</v>
      </c>
      <c r="AD84" s="20"/>
    </row>
    <row r="85" spans="2:30" x14ac:dyDescent="0.3">
      <c r="B85" s="200" t="s">
        <v>240</v>
      </c>
      <c r="C85" s="247" t="s">
        <v>98</v>
      </c>
      <c r="D85" s="87" t="s">
        <v>99</v>
      </c>
      <c r="E85" s="88">
        <v>6</v>
      </c>
      <c r="F85" s="89">
        <v>28</v>
      </c>
      <c r="G85" s="90">
        <v>29</v>
      </c>
      <c r="H85" s="91">
        <v>7535</v>
      </c>
      <c r="I85" s="73">
        <v>91</v>
      </c>
      <c r="J85" s="92">
        <v>3.4246746559076888E-3</v>
      </c>
      <c r="K85" s="93">
        <v>417</v>
      </c>
      <c r="L85" s="94">
        <v>5</v>
      </c>
      <c r="M85" s="92">
        <v>7.3544973544973538E-2</v>
      </c>
      <c r="O85" s="72">
        <v>903.93323319564411</v>
      </c>
      <c r="P85" s="93">
        <v>486.93323319564411</v>
      </c>
      <c r="Q85" s="73">
        <v>150.65553886594068</v>
      </c>
      <c r="R85" s="73">
        <v>32.283329756987293</v>
      </c>
      <c r="S85" s="73">
        <v>31.170111489504968</v>
      </c>
      <c r="T85" s="74">
        <v>10.761109918995764</v>
      </c>
      <c r="V85" s="72">
        <v>1</v>
      </c>
      <c r="W85" s="73">
        <v>3</v>
      </c>
      <c r="X85" s="73">
        <v>6</v>
      </c>
      <c r="Y85" s="74">
        <v>6</v>
      </c>
      <c r="Z85" s="72">
        <v>5</v>
      </c>
      <c r="AA85" s="73">
        <v>12</v>
      </c>
      <c r="AB85" s="73">
        <v>26</v>
      </c>
      <c r="AC85" s="74">
        <v>28</v>
      </c>
      <c r="AD85" s="20"/>
    </row>
    <row r="86" spans="2:30" x14ac:dyDescent="0.3">
      <c r="B86" s="201"/>
      <c r="C86" s="248"/>
      <c r="D86" s="32" t="s">
        <v>100</v>
      </c>
      <c r="E86" s="33">
        <v>6</v>
      </c>
      <c r="F86" s="34">
        <v>27</v>
      </c>
      <c r="G86" s="35">
        <v>20</v>
      </c>
      <c r="H86" s="36">
        <v>5093</v>
      </c>
      <c r="I86" s="37">
        <v>144</v>
      </c>
      <c r="J86" s="38">
        <v>2.3147800958908905E-3</v>
      </c>
      <c r="K86" s="39">
        <v>373</v>
      </c>
      <c r="L86" s="40">
        <v>4</v>
      </c>
      <c r="M86" s="38">
        <v>9.5714652296638433E-2</v>
      </c>
      <c r="O86" s="41">
        <v>808.55418700713483</v>
      </c>
      <c r="P86" s="39">
        <v>435.55418700713483</v>
      </c>
      <c r="Q86" s="37">
        <v>134.7590311678558</v>
      </c>
      <c r="R86" s="37">
        <v>29.946451370634623</v>
      </c>
      <c r="S86" s="37">
        <v>40.427709350356743</v>
      </c>
      <c r="T86" s="42">
        <v>9.9821504568782071</v>
      </c>
      <c r="V86" s="41">
        <v>1</v>
      </c>
      <c r="W86" s="37">
        <v>3</v>
      </c>
      <c r="X86" s="37">
        <v>6</v>
      </c>
      <c r="Y86" s="42">
        <v>6</v>
      </c>
      <c r="Z86" s="41">
        <v>5</v>
      </c>
      <c r="AA86" s="37">
        <v>11</v>
      </c>
      <c r="AB86" s="37">
        <v>25</v>
      </c>
      <c r="AC86" s="42">
        <v>27</v>
      </c>
      <c r="AD86" s="20"/>
    </row>
    <row r="87" spans="2:30" x14ac:dyDescent="0.3">
      <c r="B87" s="201"/>
      <c r="C87" s="248"/>
      <c r="D87" s="43" t="s">
        <v>101</v>
      </c>
      <c r="E87" s="44">
        <v>6</v>
      </c>
      <c r="F87" s="45">
        <v>17</v>
      </c>
      <c r="G87" s="46">
        <v>28</v>
      </c>
      <c r="H87" s="47">
        <v>7414</v>
      </c>
      <c r="I87" s="48">
        <v>93</v>
      </c>
      <c r="J87" s="49">
        <v>3.369679880411361E-3</v>
      </c>
      <c r="K87" s="50">
        <v>721</v>
      </c>
      <c r="L87" s="51">
        <v>3</v>
      </c>
      <c r="M87" s="49">
        <v>0.13045051565044327</v>
      </c>
      <c r="O87" s="52">
        <v>1562.9157341344348</v>
      </c>
      <c r="P87" s="50">
        <v>841.91573413443484</v>
      </c>
      <c r="Q87" s="48">
        <v>260.48595568907245</v>
      </c>
      <c r="R87" s="48">
        <v>91.936219654966749</v>
      </c>
      <c r="S87" s="48">
        <v>55.818419076229816</v>
      </c>
      <c r="T87" s="53">
        <v>30.645406551655583</v>
      </c>
      <c r="V87" s="52">
        <v>1</v>
      </c>
      <c r="W87" s="48">
        <v>3</v>
      </c>
      <c r="X87" s="48">
        <v>6</v>
      </c>
      <c r="Y87" s="53">
        <v>6</v>
      </c>
      <c r="Z87" s="52">
        <v>3</v>
      </c>
      <c r="AA87" s="48">
        <v>7</v>
      </c>
      <c r="AB87" s="48">
        <v>16</v>
      </c>
      <c r="AC87" s="53">
        <v>17</v>
      </c>
      <c r="AD87" s="20"/>
    </row>
    <row r="88" spans="2:30" x14ac:dyDescent="0.3">
      <c r="B88" s="201"/>
      <c r="C88" s="248"/>
      <c r="D88" s="32" t="s">
        <v>102</v>
      </c>
      <c r="E88" s="33">
        <v>11</v>
      </c>
      <c r="F88" s="34">
        <v>34</v>
      </c>
      <c r="G88" s="35">
        <v>28</v>
      </c>
      <c r="H88" s="36">
        <v>7427</v>
      </c>
      <c r="I88" s="37">
        <v>92</v>
      </c>
      <c r="J88" s="38">
        <v>3.3755884100101401E-3</v>
      </c>
      <c r="K88" s="39">
        <v>316</v>
      </c>
      <c r="L88" s="40">
        <v>8</v>
      </c>
      <c r="M88" s="38">
        <v>5.5487269534679542E-2</v>
      </c>
      <c r="O88" s="41">
        <v>684.99496808111155</v>
      </c>
      <c r="P88" s="39">
        <v>368.99496808111155</v>
      </c>
      <c r="Q88" s="37">
        <v>62.272269825555597</v>
      </c>
      <c r="R88" s="37">
        <v>20.146910825915047</v>
      </c>
      <c r="S88" s="37">
        <v>24.464106002896841</v>
      </c>
      <c r="T88" s="42">
        <v>6.7156369419716819</v>
      </c>
      <c r="V88" s="41">
        <v>2</v>
      </c>
      <c r="W88" s="37">
        <v>5</v>
      </c>
      <c r="X88" s="37">
        <v>10</v>
      </c>
      <c r="Y88" s="42">
        <v>11</v>
      </c>
      <c r="Z88" s="41">
        <v>6</v>
      </c>
      <c r="AA88" s="37">
        <v>14</v>
      </c>
      <c r="AB88" s="37">
        <v>31</v>
      </c>
      <c r="AC88" s="42">
        <v>34</v>
      </c>
      <c r="AD88" s="20"/>
    </row>
    <row r="89" spans="2:30" x14ac:dyDescent="0.3">
      <c r="B89" s="201"/>
      <c r="C89" s="248"/>
      <c r="D89" s="43" t="s">
        <v>103</v>
      </c>
      <c r="E89" s="44">
        <v>15</v>
      </c>
      <c r="F89" s="45">
        <v>76</v>
      </c>
      <c r="G89" s="46">
        <v>54</v>
      </c>
      <c r="H89" s="47">
        <v>14235</v>
      </c>
      <c r="I89" s="48">
        <v>43</v>
      </c>
      <c r="J89" s="49">
        <v>6.4698399106630326E-3</v>
      </c>
      <c r="K89" s="50">
        <v>743</v>
      </c>
      <c r="L89" s="51">
        <v>5</v>
      </c>
      <c r="M89" s="49">
        <v>6.7380067108007619E-2</v>
      </c>
      <c r="O89" s="52">
        <v>1610.6052572286894</v>
      </c>
      <c r="P89" s="50">
        <v>867.60525722868942</v>
      </c>
      <c r="Q89" s="48">
        <v>107.37368381524597</v>
      </c>
      <c r="R89" s="48">
        <v>21.192174437219599</v>
      </c>
      <c r="S89" s="48">
        <v>29.826023282012766</v>
      </c>
      <c r="T89" s="53">
        <v>7.0640581457398666</v>
      </c>
      <c r="V89" s="52">
        <v>3</v>
      </c>
      <c r="W89" s="48">
        <v>6</v>
      </c>
      <c r="X89" s="48">
        <v>14</v>
      </c>
      <c r="Y89" s="53">
        <v>15</v>
      </c>
      <c r="Z89" s="52">
        <v>12</v>
      </c>
      <c r="AA89" s="48">
        <v>31</v>
      </c>
      <c r="AB89" s="48">
        <v>69</v>
      </c>
      <c r="AC89" s="53">
        <v>76</v>
      </c>
      <c r="AD89" s="20"/>
    </row>
    <row r="90" spans="2:30" x14ac:dyDescent="0.3">
      <c r="B90" s="201"/>
      <c r="C90" s="248"/>
      <c r="D90" s="32" t="s">
        <v>104</v>
      </c>
      <c r="E90" s="33">
        <v>6</v>
      </c>
      <c r="F90" s="34">
        <v>36</v>
      </c>
      <c r="G90" s="35">
        <v>48</v>
      </c>
      <c r="H90" s="36">
        <v>12740</v>
      </c>
      <c r="I90" s="37">
        <v>48</v>
      </c>
      <c r="J90" s="38">
        <v>5.7903590068034442E-3</v>
      </c>
      <c r="K90" s="39">
        <v>958</v>
      </c>
      <c r="L90" s="40">
        <v>4</v>
      </c>
      <c r="M90" s="38">
        <v>0.10480253801553441</v>
      </c>
      <c r="O90" s="41">
        <v>2076.6619601952684</v>
      </c>
      <c r="P90" s="39">
        <v>1118.6619601952684</v>
      </c>
      <c r="Q90" s="37">
        <v>346.11032669921138</v>
      </c>
      <c r="R90" s="37">
        <v>57.685054449868566</v>
      </c>
      <c r="S90" s="37">
        <v>43.263790837401423</v>
      </c>
      <c r="T90" s="42">
        <v>19.228351483289522</v>
      </c>
      <c r="V90" s="41">
        <v>1</v>
      </c>
      <c r="W90" s="37">
        <v>3</v>
      </c>
      <c r="X90" s="37">
        <v>6</v>
      </c>
      <c r="Y90" s="42">
        <v>6</v>
      </c>
      <c r="Z90" s="41">
        <v>6</v>
      </c>
      <c r="AA90" s="37">
        <v>15</v>
      </c>
      <c r="AB90" s="37">
        <v>33</v>
      </c>
      <c r="AC90" s="42">
        <v>36</v>
      </c>
      <c r="AD90" s="20"/>
    </row>
    <row r="91" spans="2:30" x14ac:dyDescent="0.3">
      <c r="B91" s="201"/>
      <c r="C91" s="248"/>
      <c r="D91" s="43" t="s">
        <v>105</v>
      </c>
      <c r="E91" s="44">
        <v>8</v>
      </c>
      <c r="F91" s="45">
        <v>43</v>
      </c>
      <c r="G91" s="46">
        <v>51</v>
      </c>
      <c r="H91" s="47">
        <v>13448</v>
      </c>
      <c r="I91" s="48">
        <v>46</v>
      </c>
      <c r="J91" s="49">
        <v>6.112146618798487E-3</v>
      </c>
      <c r="K91" s="50">
        <v>936</v>
      </c>
      <c r="L91" s="51">
        <v>5</v>
      </c>
      <c r="M91" s="49">
        <v>9.4354838709677424E-2</v>
      </c>
      <c r="O91" s="52">
        <v>2028.9724371010138</v>
      </c>
      <c r="P91" s="50">
        <v>1092.9724371010138</v>
      </c>
      <c r="Q91" s="48">
        <v>253.62155463762673</v>
      </c>
      <c r="R91" s="48">
        <v>47.185405513977067</v>
      </c>
      <c r="S91" s="48">
        <v>39.783773276490464</v>
      </c>
      <c r="T91" s="53">
        <v>15.728468504659022</v>
      </c>
      <c r="V91" s="52">
        <v>2</v>
      </c>
      <c r="W91" s="48">
        <v>4</v>
      </c>
      <c r="X91" s="48">
        <v>8</v>
      </c>
      <c r="Y91" s="53">
        <v>8</v>
      </c>
      <c r="Z91" s="52">
        <v>7</v>
      </c>
      <c r="AA91" s="48">
        <v>18</v>
      </c>
      <c r="AB91" s="48">
        <v>39</v>
      </c>
      <c r="AC91" s="53">
        <v>43</v>
      </c>
      <c r="AD91" s="20"/>
    </row>
    <row r="92" spans="2:30" x14ac:dyDescent="0.3">
      <c r="B92" s="201"/>
      <c r="C92" s="249"/>
      <c r="D92" s="55" t="s">
        <v>27</v>
      </c>
      <c r="E92" s="56">
        <v>58</v>
      </c>
      <c r="F92" s="57">
        <v>261</v>
      </c>
      <c r="G92" s="58">
        <v>258</v>
      </c>
      <c r="H92" s="59">
        <v>67892</v>
      </c>
      <c r="I92" s="60">
        <v>15</v>
      </c>
      <c r="J92" s="61">
        <v>3.0857068578485043E-2</v>
      </c>
      <c r="K92" s="62">
        <f>SUM(K85:K91)</f>
        <v>4464</v>
      </c>
      <c r="L92" s="63">
        <v>5</v>
      </c>
      <c r="M92" s="64">
        <v>8.7741022465947283E-2</v>
      </c>
      <c r="N92" s="65"/>
      <c r="O92" s="66">
        <v>9676.6377769432966</v>
      </c>
      <c r="P92" s="62">
        <v>5212.6377769432966</v>
      </c>
      <c r="Q92" s="67">
        <v>166.83858236109131</v>
      </c>
      <c r="R92" s="67">
        <v>37.075240524686961</v>
      </c>
      <c r="S92" s="67">
        <v>37.506347972648435</v>
      </c>
      <c r="T92" s="68">
        <v>12.358413508228987</v>
      </c>
      <c r="U92" s="65"/>
      <c r="V92" s="86">
        <v>11</v>
      </c>
      <c r="W92" s="67">
        <v>27</v>
      </c>
      <c r="X92" s="67">
        <v>56</v>
      </c>
      <c r="Y92" s="68">
        <v>58</v>
      </c>
      <c r="Z92" s="86">
        <v>44</v>
      </c>
      <c r="AA92" s="67">
        <v>108</v>
      </c>
      <c r="AB92" s="67">
        <v>239</v>
      </c>
      <c r="AC92" s="68">
        <v>261</v>
      </c>
      <c r="AD92" s="20"/>
    </row>
    <row r="93" spans="2:30" x14ac:dyDescent="0.3">
      <c r="B93" s="201"/>
      <c r="C93" s="250" t="s">
        <v>106</v>
      </c>
      <c r="D93" s="21" t="s">
        <v>107</v>
      </c>
      <c r="E93" s="22">
        <v>10</v>
      </c>
      <c r="F93" s="23">
        <v>20</v>
      </c>
      <c r="G93" s="24">
        <v>17</v>
      </c>
      <c r="H93" s="25">
        <v>4753</v>
      </c>
      <c r="I93" s="26">
        <v>152</v>
      </c>
      <c r="J93" s="27">
        <v>2.1602493217689773E-3</v>
      </c>
      <c r="K93" s="28">
        <v>193</v>
      </c>
      <c r="L93" s="29">
        <v>6</v>
      </c>
      <c r="M93" s="27">
        <v>5.5475711411325096E-2</v>
      </c>
      <c r="O93" s="30">
        <v>418.36717987232447</v>
      </c>
      <c r="P93" s="28">
        <v>225.36717987232447</v>
      </c>
      <c r="Q93" s="26">
        <v>41.836717987232447</v>
      </c>
      <c r="R93" s="26">
        <v>20.918358993616224</v>
      </c>
      <c r="S93" s="26">
        <v>24.609834110136735</v>
      </c>
      <c r="T93" s="31">
        <v>6.9727863312054081</v>
      </c>
      <c r="V93" s="30">
        <v>2</v>
      </c>
      <c r="W93" s="26">
        <v>4</v>
      </c>
      <c r="X93" s="26">
        <v>9</v>
      </c>
      <c r="Y93" s="31">
        <v>10</v>
      </c>
      <c r="Z93" s="30">
        <v>3</v>
      </c>
      <c r="AA93" s="26">
        <v>8</v>
      </c>
      <c r="AB93" s="26">
        <v>18</v>
      </c>
      <c r="AC93" s="31">
        <v>20</v>
      </c>
      <c r="AD93" s="20"/>
    </row>
    <row r="94" spans="2:30" s="65" customFormat="1" x14ac:dyDescent="0.3">
      <c r="B94" s="201"/>
      <c r="C94" s="248"/>
      <c r="D94" s="32" t="s">
        <v>108</v>
      </c>
      <c r="E94" s="33">
        <v>19</v>
      </c>
      <c r="F94" s="34">
        <v>36</v>
      </c>
      <c r="G94" s="35">
        <v>20</v>
      </c>
      <c r="H94" s="36">
        <v>5210</v>
      </c>
      <c r="I94" s="37">
        <v>139</v>
      </c>
      <c r="J94" s="38">
        <v>2.3679568622799016E-3</v>
      </c>
      <c r="K94" s="39">
        <v>64</v>
      </c>
      <c r="L94" s="40">
        <v>10</v>
      </c>
      <c r="M94" s="38">
        <v>1.5447743181269612E-2</v>
      </c>
      <c r="N94"/>
      <c r="O94" s="41">
        <v>138.73315809237701</v>
      </c>
      <c r="P94" s="39">
        <v>74.73315809237701</v>
      </c>
      <c r="Q94" s="37">
        <v>7.3017451627566849</v>
      </c>
      <c r="R94" s="37">
        <v>3.8536988358993614</v>
      </c>
      <c r="S94" s="37">
        <v>6.9366579046188503</v>
      </c>
      <c r="T94" s="42">
        <v>1.2845662786331205</v>
      </c>
      <c r="U94"/>
      <c r="V94" s="41">
        <v>3</v>
      </c>
      <c r="W94" s="37">
        <v>8</v>
      </c>
      <c r="X94" s="37">
        <v>18</v>
      </c>
      <c r="Y94" s="42">
        <v>19</v>
      </c>
      <c r="Z94" s="41">
        <v>6</v>
      </c>
      <c r="AA94" s="37">
        <v>15</v>
      </c>
      <c r="AB94" s="37">
        <v>33</v>
      </c>
      <c r="AC94" s="42">
        <v>36</v>
      </c>
      <c r="AD94" s="54"/>
    </row>
    <row r="95" spans="2:30" s="65" customFormat="1" x14ac:dyDescent="0.3">
      <c r="B95" s="201"/>
      <c r="C95" s="248"/>
      <c r="D95" s="43" t="s">
        <v>109</v>
      </c>
      <c r="E95" s="44">
        <v>6</v>
      </c>
      <c r="F95" s="45">
        <v>18</v>
      </c>
      <c r="G95" s="46">
        <v>22</v>
      </c>
      <c r="H95" s="47">
        <v>6255</v>
      </c>
      <c r="I95" s="48">
        <v>120</v>
      </c>
      <c r="J95" s="49">
        <v>2.8429117415663696E-3</v>
      </c>
      <c r="K95" s="50">
        <v>267</v>
      </c>
      <c r="L95" s="51">
        <v>6</v>
      </c>
      <c r="M95" s="49">
        <v>5.5290950507351416E-2</v>
      </c>
      <c r="N95"/>
      <c r="O95" s="52">
        <v>578.77739391663545</v>
      </c>
      <c r="P95" s="50">
        <v>311.77739391663545</v>
      </c>
      <c r="Q95" s="48">
        <v>96.462898986105913</v>
      </c>
      <c r="R95" s="48">
        <v>32.154299662035299</v>
      </c>
      <c r="S95" s="48">
        <v>26.308063359847065</v>
      </c>
      <c r="T95" s="53">
        <v>10.718099887345099</v>
      </c>
      <c r="U95"/>
      <c r="V95" s="52">
        <v>1</v>
      </c>
      <c r="W95" s="48">
        <v>3</v>
      </c>
      <c r="X95" s="48">
        <v>6</v>
      </c>
      <c r="Y95" s="53">
        <v>6</v>
      </c>
      <c r="Z95" s="52">
        <v>3</v>
      </c>
      <c r="AA95" s="48">
        <v>8</v>
      </c>
      <c r="AB95" s="48">
        <v>17</v>
      </c>
      <c r="AC95" s="53">
        <v>18</v>
      </c>
      <c r="AD95" s="127"/>
    </row>
    <row r="96" spans="2:30" x14ac:dyDescent="0.3">
      <c r="B96" s="201"/>
      <c r="C96" s="248"/>
      <c r="D96" s="32" t="s">
        <v>110</v>
      </c>
      <c r="E96" s="33">
        <v>18</v>
      </c>
      <c r="F96" s="34">
        <v>46</v>
      </c>
      <c r="G96" s="35">
        <v>24</v>
      </c>
      <c r="H96" s="36">
        <v>6606</v>
      </c>
      <c r="I96" s="37">
        <v>109</v>
      </c>
      <c r="J96" s="38">
        <v>3.0024420407334029E-3</v>
      </c>
      <c r="K96" s="39">
        <v>865</v>
      </c>
      <c r="L96" s="40">
        <v>2</v>
      </c>
      <c r="M96" s="38">
        <v>0.16871464794226643</v>
      </c>
      <c r="O96" s="41">
        <v>1875.0653398422833</v>
      </c>
      <c r="P96" s="39">
        <v>1010.0653398422833</v>
      </c>
      <c r="Q96" s="37">
        <v>104.17029665790463</v>
      </c>
      <c r="R96" s="37">
        <v>40.762289996571376</v>
      </c>
      <c r="S96" s="37">
        <v>78.127722493428465</v>
      </c>
      <c r="T96" s="42">
        <v>13.587429998857125</v>
      </c>
      <c r="V96" s="41">
        <v>3</v>
      </c>
      <c r="W96" s="37">
        <v>8</v>
      </c>
      <c r="X96" s="37">
        <v>17</v>
      </c>
      <c r="Y96" s="42">
        <v>18</v>
      </c>
      <c r="Z96" s="41">
        <v>7</v>
      </c>
      <c r="AA96" s="37">
        <v>19</v>
      </c>
      <c r="AB96" s="37">
        <v>42</v>
      </c>
      <c r="AC96" s="42">
        <v>46</v>
      </c>
      <c r="AD96" s="20"/>
    </row>
    <row r="97" spans="2:30" x14ac:dyDescent="0.3">
      <c r="B97" s="201"/>
      <c r="C97" s="248"/>
      <c r="D97" s="43" t="s">
        <v>111</v>
      </c>
      <c r="E97" s="44">
        <v>10</v>
      </c>
      <c r="F97" s="45">
        <v>21</v>
      </c>
      <c r="G97" s="46">
        <v>14</v>
      </c>
      <c r="H97" s="47">
        <v>3701</v>
      </c>
      <c r="I97" s="48">
        <v>169</v>
      </c>
      <c r="J97" s="49">
        <v>1.6821129265447055E-3</v>
      </c>
      <c r="K97" s="50">
        <v>308</v>
      </c>
      <c r="L97" s="51">
        <v>5</v>
      </c>
      <c r="M97" s="49">
        <v>0.10276943610276944</v>
      </c>
      <c r="O97" s="52">
        <v>667.65332331956438</v>
      </c>
      <c r="P97" s="50">
        <v>359.65332331956438</v>
      </c>
      <c r="Q97" s="48">
        <v>66.765332331956444</v>
      </c>
      <c r="R97" s="48">
        <v>31.793015396169732</v>
      </c>
      <c r="S97" s="48">
        <v>47.689523094254596</v>
      </c>
      <c r="T97" s="53">
        <v>10.597671798723244</v>
      </c>
      <c r="V97" s="52">
        <v>2</v>
      </c>
      <c r="W97" s="48">
        <v>4</v>
      </c>
      <c r="X97" s="48">
        <v>9</v>
      </c>
      <c r="Y97" s="53">
        <v>10</v>
      </c>
      <c r="Z97" s="52">
        <v>4</v>
      </c>
      <c r="AA97" s="48">
        <v>9</v>
      </c>
      <c r="AB97" s="48">
        <v>19</v>
      </c>
      <c r="AC97" s="53">
        <v>21</v>
      </c>
      <c r="AD97" s="20"/>
    </row>
    <row r="98" spans="2:30" x14ac:dyDescent="0.3">
      <c r="B98" s="201"/>
      <c r="C98" s="248"/>
      <c r="D98" s="32" t="s">
        <v>112</v>
      </c>
      <c r="E98" s="33">
        <v>15</v>
      </c>
      <c r="F98" s="34">
        <v>31</v>
      </c>
      <c r="G98" s="35">
        <v>33</v>
      </c>
      <c r="H98" s="36">
        <v>9028</v>
      </c>
      <c r="I98" s="37">
        <v>75</v>
      </c>
      <c r="J98" s="38">
        <v>4.1032465552136186E-3</v>
      </c>
      <c r="K98" s="39">
        <v>674</v>
      </c>
      <c r="L98" s="40">
        <v>4</v>
      </c>
      <c r="M98" s="38">
        <v>0.10043212635970794</v>
      </c>
      <c r="O98" s="41">
        <v>1461.0335711603457</v>
      </c>
      <c r="P98" s="39">
        <v>787.03357116034567</v>
      </c>
      <c r="Q98" s="37">
        <v>97.402238077356373</v>
      </c>
      <c r="R98" s="37">
        <v>47.13011519872083</v>
      </c>
      <c r="S98" s="37">
        <v>44.273744580616537</v>
      </c>
      <c r="T98" s="42">
        <v>15.710038399573611</v>
      </c>
      <c r="V98" s="41">
        <v>3</v>
      </c>
      <c r="W98" s="37">
        <v>6</v>
      </c>
      <c r="X98" s="37">
        <v>14</v>
      </c>
      <c r="Y98" s="42">
        <v>15</v>
      </c>
      <c r="Z98" s="41">
        <v>5</v>
      </c>
      <c r="AA98" s="37">
        <v>13</v>
      </c>
      <c r="AB98" s="37">
        <v>28</v>
      </c>
      <c r="AC98" s="42">
        <v>31</v>
      </c>
      <c r="AD98" s="20"/>
    </row>
    <row r="99" spans="2:30" x14ac:dyDescent="0.3">
      <c r="B99" s="201"/>
      <c r="C99" s="248"/>
      <c r="D99" s="43" t="s">
        <v>106</v>
      </c>
      <c r="E99" s="44">
        <v>6</v>
      </c>
      <c r="F99" s="45">
        <v>15</v>
      </c>
      <c r="G99" s="46">
        <v>12</v>
      </c>
      <c r="H99" s="47">
        <v>3164</v>
      </c>
      <c r="I99" s="48">
        <v>179</v>
      </c>
      <c r="J99" s="49">
        <v>1.4380452038874488E-3</v>
      </c>
      <c r="K99" s="50">
        <v>81</v>
      </c>
      <c r="L99" s="51">
        <v>9</v>
      </c>
      <c r="M99" s="49">
        <v>3.294021960146401E-2</v>
      </c>
      <c r="O99" s="52">
        <v>175.58415321066465</v>
      </c>
      <c r="P99" s="50">
        <v>94.584153210664653</v>
      </c>
      <c r="Q99" s="48">
        <v>29.264025535110775</v>
      </c>
      <c r="R99" s="48">
        <v>11.705610214044309</v>
      </c>
      <c r="S99" s="48">
        <v>14.632012767555388</v>
      </c>
      <c r="T99" s="53">
        <v>3.9018700713481032</v>
      </c>
      <c r="V99" s="52">
        <v>1</v>
      </c>
      <c r="W99" s="48">
        <v>3</v>
      </c>
      <c r="X99" s="48">
        <v>6</v>
      </c>
      <c r="Y99" s="53">
        <v>6</v>
      </c>
      <c r="Z99" s="52">
        <v>3</v>
      </c>
      <c r="AA99" s="48">
        <v>6</v>
      </c>
      <c r="AB99" s="48">
        <v>14</v>
      </c>
      <c r="AC99" s="53">
        <v>15</v>
      </c>
      <c r="AD99" s="20"/>
    </row>
    <row r="100" spans="2:30" x14ac:dyDescent="0.3">
      <c r="B100" s="201"/>
      <c r="C100" s="251"/>
      <c r="D100" s="75" t="s">
        <v>27</v>
      </c>
      <c r="E100" s="76">
        <v>84</v>
      </c>
      <c r="F100" s="77">
        <v>187</v>
      </c>
      <c r="G100" s="78">
        <v>142</v>
      </c>
      <c r="H100" s="79">
        <v>38717</v>
      </c>
      <c r="I100" s="80">
        <v>20</v>
      </c>
      <c r="J100" s="81">
        <v>1.7596964651994423E-2</v>
      </c>
      <c r="K100" s="82">
        <f>SUM(K93:K99)</f>
        <v>2452</v>
      </c>
      <c r="L100" s="83">
        <v>6</v>
      </c>
      <c r="M100" s="84">
        <v>8.2434022524794079E-2</v>
      </c>
      <c r="N100" s="65"/>
      <c r="O100" s="85">
        <v>5315.2141194141941</v>
      </c>
      <c r="P100" s="82">
        <v>2863.2141194141946</v>
      </c>
      <c r="Q100" s="70">
        <v>63.276358564454689</v>
      </c>
      <c r="R100" s="70">
        <v>28.423604916653446</v>
      </c>
      <c r="S100" s="70">
        <v>37.431085347987285</v>
      </c>
      <c r="T100" s="71">
        <v>9.4745349722178158</v>
      </c>
      <c r="U100" s="65"/>
      <c r="V100" s="69">
        <v>15</v>
      </c>
      <c r="W100" s="70">
        <v>36</v>
      </c>
      <c r="X100" s="70">
        <v>79</v>
      </c>
      <c r="Y100" s="71">
        <v>84</v>
      </c>
      <c r="Z100" s="69">
        <v>31</v>
      </c>
      <c r="AA100" s="70">
        <v>78</v>
      </c>
      <c r="AB100" s="70">
        <v>171</v>
      </c>
      <c r="AC100" s="71">
        <v>187</v>
      </c>
      <c r="AD100" s="20"/>
    </row>
    <row r="101" spans="2:30" x14ac:dyDescent="0.3">
      <c r="B101" s="201"/>
      <c r="C101" s="247" t="s">
        <v>113</v>
      </c>
      <c r="D101" s="87" t="s">
        <v>114</v>
      </c>
      <c r="E101" s="88">
        <v>6</v>
      </c>
      <c r="F101" s="89">
        <v>12</v>
      </c>
      <c r="G101" s="90">
        <v>18</v>
      </c>
      <c r="H101" s="91">
        <v>4187</v>
      </c>
      <c r="I101" s="73">
        <v>160</v>
      </c>
      <c r="J101" s="92">
        <v>1.9030010330836752E-3</v>
      </c>
      <c r="K101" s="93">
        <v>87</v>
      </c>
      <c r="L101" s="94">
        <v>8</v>
      </c>
      <c r="M101" s="92">
        <v>2.5793062555588497E-2</v>
      </c>
      <c r="O101" s="72">
        <v>188.590386781825</v>
      </c>
      <c r="P101" s="93">
        <v>101.590386781825</v>
      </c>
      <c r="Q101" s="73">
        <v>31.431731130304168</v>
      </c>
      <c r="R101" s="73">
        <v>15.715865565152084</v>
      </c>
      <c r="S101" s="73">
        <v>10.477243710101389</v>
      </c>
      <c r="T101" s="74">
        <v>5.2386218550506944</v>
      </c>
      <c r="V101" s="72">
        <v>1</v>
      </c>
      <c r="W101" s="73">
        <v>3</v>
      </c>
      <c r="X101" s="73">
        <v>6</v>
      </c>
      <c r="Y101" s="74">
        <v>6</v>
      </c>
      <c r="Z101" s="72">
        <v>2</v>
      </c>
      <c r="AA101" s="73">
        <v>5</v>
      </c>
      <c r="AB101" s="73">
        <v>11</v>
      </c>
      <c r="AC101" s="74">
        <v>12</v>
      </c>
      <c r="AD101" s="20"/>
    </row>
    <row r="102" spans="2:30" x14ac:dyDescent="0.3">
      <c r="B102" s="201"/>
      <c r="C102" s="248"/>
      <c r="D102" s="32" t="s">
        <v>115</v>
      </c>
      <c r="E102" s="33">
        <v>8</v>
      </c>
      <c r="F102" s="34">
        <v>18</v>
      </c>
      <c r="G102" s="35">
        <v>17</v>
      </c>
      <c r="H102" s="36">
        <v>4005</v>
      </c>
      <c r="I102" s="37">
        <v>165</v>
      </c>
      <c r="J102" s="38">
        <v>1.820281618700769E-3</v>
      </c>
      <c r="K102" s="39">
        <v>256</v>
      </c>
      <c r="L102" s="40">
        <v>5</v>
      </c>
      <c r="M102" s="38">
        <v>7.6853797658360853E-2</v>
      </c>
      <c r="O102" s="41">
        <v>554.93263236950804</v>
      </c>
      <c r="P102" s="39">
        <v>298.93263236950804</v>
      </c>
      <c r="Q102" s="37">
        <v>69.366579046188505</v>
      </c>
      <c r="R102" s="37">
        <v>30.829590687194891</v>
      </c>
      <c r="S102" s="37">
        <v>32.643096021735765</v>
      </c>
      <c r="T102" s="42">
        <v>10.276530229064964</v>
      </c>
      <c r="V102" s="41">
        <v>2</v>
      </c>
      <c r="W102" s="37">
        <v>4</v>
      </c>
      <c r="X102" s="37">
        <v>8</v>
      </c>
      <c r="Y102" s="42">
        <v>8</v>
      </c>
      <c r="Z102" s="41">
        <v>3</v>
      </c>
      <c r="AA102" s="37">
        <v>8</v>
      </c>
      <c r="AB102" s="37">
        <v>17</v>
      </c>
      <c r="AC102" s="42">
        <v>18</v>
      </c>
      <c r="AD102" s="20"/>
    </row>
    <row r="103" spans="2:30" s="65" customFormat="1" x14ac:dyDescent="0.3">
      <c r="B103" s="201"/>
      <c r="C103" s="248"/>
      <c r="D103" s="43" t="s">
        <v>116</v>
      </c>
      <c r="E103" s="44">
        <v>7</v>
      </c>
      <c r="F103" s="45">
        <v>12</v>
      </c>
      <c r="G103" s="46">
        <v>18</v>
      </c>
      <c r="H103" s="47">
        <v>4434</v>
      </c>
      <c r="I103" s="48">
        <v>158</v>
      </c>
      <c r="J103" s="49">
        <v>2.0152630954604765E-3</v>
      </c>
      <c r="K103" s="50">
        <v>437</v>
      </c>
      <c r="L103" s="51">
        <v>3</v>
      </c>
      <c r="M103" s="49">
        <v>0.11846028734074275</v>
      </c>
      <c r="N103"/>
      <c r="O103" s="52">
        <v>947.28734509951187</v>
      </c>
      <c r="P103" s="50">
        <v>510.28734509951187</v>
      </c>
      <c r="Q103" s="48">
        <v>135.32676358564456</v>
      </c>
      <c r="R103" s="48">
        <v>78.940612091625994</v>
      </c>
      <c r="S103" s="48">
        <v>52.62707472775066</v>
      </c>
      <c r="T103" s="53">
        <v>26.31353736387533</v>
      </c>
      <c r="U103"/>
      <c r="V103" s="52">
        <v>2</v>
      </c>
      <c r="W103" s="48">
        <v>3</v>
      </c>
      <c r="X103" s="48">
        <v>7</v>
      </c>
      <c r="Y103" s="53">
        <v>7</v>
      </c>
      <c r="Z103" s="52">
        <v>2</v>
      </c>
      <c r="AA103" s="48">
        <v>5</v>
      </c>
      <c r="AB103" s="48">
        <v>11</v>
      </c>
      <c r="AC103" s="53">
        <v>12</v>
      </c>
      <c r="AD103" s="54"/>
    </row>
    <row r="104" spans="2:30" x14ac:dyDescent="0.3">
      <c r="B104" s="201"/>
      <c r="C104" s="248"/>
      <c r="D104" s="32" t="s">
        <v>117</v>
      </c>
      <c r="E104" s="33">
        <v>6</v>
      </c>
      <c r="F104" s="34">
        <v>17</v>
      </c>
      <c r="G104" s="35">
        <v>21</v>
      </c>
      <c r="H104" s="36">
        <v>5377</v>
      </c>
      <c r="I104" s="37">
        <v>138</v>
      </c>
      <c r="J104" s="38">
        <v>2.4438587425103706E-3</v>
      </c>
      <c r="K104" s="39">
        <v>167</v>
      </c>
      <c r="L104" s="40">
        <v>8</v>
      </c>
      <c r="M104" s="38">
        <v>3.9875835721107929E-2</v>
      </c>
      <c r="O104" s="41">
        <v>362.0068343972963</v>
      </c>
      <c r="P104" s="39">
        <v>195.0068343972963</v>
      </c>
      <c r="Q104" s="37">
        <v>60.334472399549384</v>
      </c>
      <c r="R104" s="37">
        <v>21.294519670429196</v>
      </c>
      <c r="S104" s="37">
        <v>17.238420685585538</v>
      </c>
      <c r="T104" s="42">
        <v>7.0981732234763983</v>
      </c>
      <c r="V104" s="41">
        <v>1</v>
      </c>
      <c r="W104" s="37">
        <v>3</v>
      </c>
      <c r="X104" s="37">
        <v>6</v>
      </c>
      <c r="Y104" s="42">
        <v>6</v>
      </c>
      <c r="Z104" s="41">
        <v>3</v>
      </c>
      <c r="AA104" s="37">
        <v>7</v>
      </c>
      <c r="AB104" s="37">
        <v>16</v>
      </c>
      <c r="AC104" s="42">
        <v>17</v>
      </c>
      <c r="AD104" s="20"/>
    </row>
    <row r="105" spans="2:30" x14ac:dyDescent="0.3">
      <c r="B105" s="201"/>
      <c r="C105" s="248"/>
      <c r="D105" s="43" t="s">
        <v>118</v>
      </c>
      <c r="E105" s="44">
        <v>7</v>
      </c>
      <c r="F105" s="45">
        <v>15</v>
      </c>
      <c r="G105" s="46">
        <v>14</v>
      </c>
      <c r="H105" s="47">
        <v>3529</v>
      </c>
      <c r="I105" s="48">
        <v>172</v>
      </c>
      <c r="J105" s="49">
        <v>1.6039385349300907E-3</v>
      </c>
      <c r="K105" s="50">
        <v>486</v>
      </c>
      <c r="L105" s="51">
        <v>2</v>
      </c>
      <c r="M105" s="49">
        <v>0.178742184626701</v>
      </c>
      <c r="O105" s="52">
        <v>1053.5049192639881</v>
      </c>
      <c r="P105" s="50">
        <v>567.50491926398809</v>
      </c>
      <c r="Q105" s="48">
        <v>150.50070275199829</v>
      </c>
      <c r="R105" s="48">
        <v>70.233661284265878</v>
      </c>
      <c r="S105" s="48">
        <v>75.250351375999145</v>
      </c>
      <c r="T105" s="53">
        <v>23.411220428088626</v>
      </c>
      <c r="V105" s="52">
        <v>2</v>
      </c>
      <c r="W105" s="48">
        <v>3</v>
      </c>
      <c r="X105" s="48">
        <v>7</v>
      </c>
      <c r="Y105" s="53">
        <v>7</v>
      </c>
      <c r="Z105" s="52">
        <v>3</v>
      </c>
      <c r="AA105" s="48">
        <v>6</v>
      </c>
      <c r="AB105" s="48">
        <v>14</v>
      </c>
      <c r="AC105" s="53">
        <v>15</v>
      </c>
      <c r="AD105" s="20"/>
    </row>
    <row r="106" spans="2:30" x14ac:dyDescent="0.3">
      <c r="B106" s="201"/>
      <c r="C106" s="248"/>
      <c r="D106" s="32" t="s">
        <v>119</v>
      </c>
      <c r="E106" s="33">
        <v>6</v>
      </c>
      <c r="F106" s="34">
        <v>22</v>
      </c>
      <c r="G106" s="35">
        <v>24</v>
      </c>
      <c r="H106" s="36">
        <v>5886</v>
      </c>
      <c r="I106" s="37">
        <v>124</v>
      </c>
      <c r="J106" s="38">
        <v>2.6752004014164109E-3</v>
      </c>
      <c r="K106" s="39">
        <v>232</v>
      </c>
      <c r="L106" s="40">
        <v>6</v>
      </c>
      <c r="M106" s="38">
        <v>4.7983453981385732E-2</v>
      </c>
      <c r="O106" s="41">
        <v>502.90769808486669</v>
      </c>
      <c r="P106" s="39">
        <v>270.90769808486669</v>
      </c>
      <c r="Q106" s="37">
        <v>83.817949680811111</v>
      </c>
      <c r="R106" s="37">
        <v>22.859440822039396</v>
      </c>
      <c r="S106" s="37">
        <v>20.954487420202778</v>
      </c>
      <c r="T106" s="42">
        <v>7.6198136073464653</v>
      </c>
      <c r="V106" s="41">
        <v>1</v>
      </c>
      <c r="W106" s="37">
        <v>3</v>
      </c>
      <c r="X106" s="37">
        <v>6</v>
      </c>
      <c r="Y106" s="42">
        <v>6</v>
      </c>
      <c r="Z106" s="41">
        <v>4</v>
      </c>
      <c r="AA106" s="37">
        <v>9</v>
      </c>
      <c r="AB106" s="37">
        <v>20</v>
      </c>
      <c r="AC106" s="42">
        <v>22</v>
      </c>
      <c r="AD106" s="20"/>
    </row>
    <row r="107" spans="2:30" x14ac:dyDescent="0.3">
      <c r="B107" s="201"/>
      <c r="C107" s="248"/>
      <c r="D107" s="43" t="s">
        <v>120</v>
      </c>
      <c r="E107" s="44">
        <v>6</v>
      </c>
      <c r="F107" s="45">
        <v>12</v>
      </c>
      <c r="G107" s="46">
        <v>14</v>
      </c>
      <c r="H107" s="47">
        <v>3278</v>
      </c>
      <c r="I107" s="48">
        <v>177</v>
      </c>
      <c r="J107" s="49">
        <v>1.4898584634459727E-3</v>
      </c>
      <c r="K107" s="50">
        <v>750</v>
      </c>
      <c r="L107" s="51">
        <v>1</v>
      </c>
      <c r="M107" s="49">
        <v>0.28016436309301457</v>
      </c>
      <c r="O107" s="52">
        <v>1625.7791963950433</v>
      </c>
      <c r="P107" s="50">
        <v>875.7791963950433</v>
      </c>
      <c r="Q107" s="48">
        <v>270.9631993991739</v>
      </c>
      <c r="R107" s="48">
        <v>135.48159969958695</v>
      </c>
      <c r="S107" s="48">
        <v>116.12708545678881</v>
      </c>
      <c r="T107" s="53">
        <v>45.16053323319565</v>
      </c>
      <c r="V107" s="52">
        <v>1</v>
      </c>
      <c r="W107" s="48">
        <v>3</v>
      </c>
      <c r="X107" s="48">
        <v>6</v>
      </c>
      <c r="Y107" s="53">
        <v>6</v>
      </c>
      <c r="Z107" s="52">
        <v>2</v>
      </c>
      <c r="AA107" s="48">
        <v>5</v>
      </c>
      <c r="AB107" s="48">
        <v>11</v>
      </c>
      <c r="AC107" s="53">
        <v>12</v>
      </c>
      <c r="AD107" s="20"/>
    </row>
    <row r="108" spans="2:30" x14ac:dyDescent="0.3">
      <c r="B108" s="201"/>
      <c r="C108" s="249"/>
      <c r="D108" s="55" t="s">
        <v>27</v>
      </c>
      <c r="E108" s="56">
        <v>46</v>
      </c>
      <c r="F108" s="57">
        <v>108</v>
      </c>
      <c r="G108" s="58">
        <v>126</v>
      </c>
      <c r="H108" s="59">
        <v>30696</v>
      </c>
      <c r="I108" s="60">
        <v>21</v>
      </c>
      <c r="J108" s="61">
        <v>1.3951401889547766E-2</v>
      </c>
      <c r="K108" s="62">
        <f>SUM(K101:K107)</f>
        <v>2415</v>
      </c>
      <c r="L108" s="63">
        <v>5</v>
      </c>
      <c r="M108" s="64">
        <v>9.7331936159922625E-2</v>
      </c>
      <c r="N108" s="65"/>
      <c r="O108" s="66">
        <v>5235.009012392039</v>
      </c>
      <c r="P108" s="62">
        <v>2820.009012392039</v>
      </c>
      <c r="Q108" s="67">
        <v>113.80454374765303</v>
      </c>
      <c r="R108" s="67">
        <v>48.472305670296656</v>
      </c>
      <c r="S108" s="67">
        <v>41.547690574539992</v>
      </c>
      <c r="T108" s="68">
        <v>16.15743522343222</v>
      </c>
      <c r="U108" s="65"/>
      <c r="V108" s="86">
        <v>10</v>
      </c>
      <c r="W108" s="67">
        <v>22</v>
      </c>
      <c r="X108" s="67">
        <v>46</v>
      </c>
      <c r="Y108" s="68">
        <v>46</v>
      </c>
      <c r="Z108" s="86">
        <v>19</v>
      </c>
      <c r="AA108" s="67">
        <v>45</v>
      </c>
      <c r="AB108" s="67">
        <v>100</v>
      </c>
      <c r="AC108" s="68">
        <v>108</v>
      </c>
      <c r="AD108" s="20"/>
    </row>
    <row r="109" spans="2:30" x14ac:dyDescent="0.3">
      <c r="B109" s="201"/>
      <c r="C109" s="250" t="s">
        <v>121</v>
      </c>
      <c r="D109" s="21" t="s">
        <v>122</v>
      </c>
      <c r="E109" s="22">
        <v>19</v>
      </c>
      <c r="F109" s="23">
        <v>132</v>
      </c>
      <c r="G109" s="24">
        <v>60</v>
      </c>
      <c r="H109" s="25">
        <v>16375</v>
      </c>
      <c r="I109" s="26">
        <v>38</v>
      </c>
      <c r="J109" s="27">
        <v>7.442474783077426E-3</v>
      </c>
      <c r="K109" s="28">
        <v>2690</v>
      </c>
      <c r="L109" s="29">
        <v>1</v>
      </c>
      <c r="M109" s="27">
        <v>0.22132631232516045</v>
      </c>
      <c r="O109" s="30">
        <v>5831.1280510702218</v>
      </c>
      <c r="P109" s="28">
        <v>3141.1280510702218</v>
      </c>
      <c r="Q109" s="26">
        <v>306.90147637211692</v>
      </c>
      <c r="R109" s="26">
        <v>44.175212508107741</v>
      </c>
      <c r="S109" s="26">
        <v>97.185467517837026</v>
      </c>
      <c r="T109" s="31">
        <v>14.725070836035913</v>
      </c>
      <c r="V109" s="30">
        <v>3</v>
      </c>
      <c r="W109" s="26">
        <v>8</v>
      </c>
      <c r="X109" s="26">
        <v>18</v>
      </c>
      <c r="Y109" s="31">
        <v>19</v>
      </c>
      <c r="Z109" s="30">
        <v>20</v>
      </c>
      <c r="AA109" s="26">
        <v>53</v>
      </c>
      <c r="AB109" s="26">
        <v>119</v>
      </c>
      <c r="AC109" s="31">
        <v>132</v>
      </c>
      <c r="AD109" s="20"/>
    </row>
    <row r="110" spans="2:30" x14ac:dyDescent="0.3">
      <c r="B110" s="201"/>
      <c r="C110" s="248"/>
      <c r="D110" s="32" t="s">
        <v>123</v>
      </c>
      <c r="E110" s="33">
        <v>32</v>
      </c>
      <c r="F110" s="34">
        <v>222</v>
      </c>
      <c r="G110" s="35">
        <v>175</v>
      </c>
      <c r="H110" s="36">
        <v>46966</v>
      </c>
      <c r="I110" s="37">
        <v>6</v>
      </c>
      <c r="J110" s="38">
        <v>2.134615393355813E-2</v>
      </c>
      <c r="K110" s="39">
        <v>8621</v>
      </c>
      <c r="L110" s="40">
        <v>1</v>
      </c>
      <c r="M110" s="38">
        <v>0.23731659647094447</v>
      </c>
      <c r="O110" s="41">
        <v>18687.789936162222</v>
      </c>
      <c r="P110" s="39">
        <v>10066.789936162222</v>
      </c>
      <c r="Q110" s="37">
        <v>583.99343550506944</v>
      </c>
      <c r="R110" s="37">
        <v>84.179233946676675</v>
      </c>
      <c r="S110" s="37">
        <v>106.78737106378412</v>
      </c>
      <c r="T110" s="42">
        <v>28.059744648892224</v>
      </c>
      <c r="V110" s="41">
        <v>5</v>
      </c>
      <c r="W110" s="37">
        <v>13</v>
      </c>
      <c r="X110" s="37">
        <v>29</v>
      </c>
      <c r="Y110" s="42">
        <v>32</v>
      </c>
      <c r="Z110" s="41">
        <v>34</v>
      </c>
      <c r="AA110" s="37">
        <v>89</v>
      </c>
      <c r="AB110" s="37">
        <v>200</v>
      </c>
      <c r="AC110" s="42">
        <v>222</v>
      </c>
      <c r="AD110" s="20"/>
    </row>
    <row r="111" spans="2:30" s="65" customFormat="1" x14ac:dyDescent="0.3">
      <c r="B111" s="201"/>
      <c r="C111" s="248"/>
      <c r="D111" s="43" t="s">
        <v>124</v>
      </c>
      <c r="E111" s="44">
        <v>14</v>
      </c>
      <c r="F111" s="45">
        <v>99</v>
      </c>
      <c r="G111" s="46">
        <v>60</v>
      </c>
      <c r="H111" s="47">
        <v>15964</v>
      </c>
      <c r="I111" s="48">
        <v>39</v>
      </c>
      <c r="J111" s="49">
        <v>7.2556743473006424E-3</v>
      </c>
      <c r="K111" s="50">
        <v>1444</v>
      </c>
      <c r="L111" s="51">
        <v>2</v>
      </c>
      <c r="M111" s="49">
        <v>0.11564026587651158</v>
      </c>
      <c r="N111"/>
      <c r="O111" s="52">
        <v>3130.1668794592565</v>
      </c>
      <c r="P111" s="50">
        <v>1686.1668794592565</v>
      </c>
      <c r="Q111" s="48">
        <v>223.58334853280402</v>
      </c>
      <c r="R111" s="48">
        <v>31.617847267265216</v>
      </c>
      <c r="S111" s="48">
        <v>52.169447990987607</v>
      </c>
      <c r="T111" s="53">
        <v>10.539282422421739</v>
      </c>
      <c r="U111"/>
      <c r="V111" s="52">
        <v>3</v>
      </c>
      <c r="W111" s="48">
        <v>6</v>
      </c>
      <c r="X111" s="48">
        <v>13</v>
      </c>
      <c r="Y111" s="53">
        <v>14</v>
      </c>
      <c r="Z111" s="52">
        <v>15</v>
      </c>
      <c r="AA111" s="48">
        <v>40</v>
      </c>
      <c r="AB111" s="48">
        <v>90</v>
      </c>
      <c r="AC111" s="53">
        <v>99</v>
      </c>
      <c r="AD111" s="54"/>
    </row>
    <row r="112" spans="2:30" x14ac:dyDescent="0.3">
      <c r="B112" s="201"/>
      <c r="C112" s="248"/>
      <c r="D112" s="32" t="s">
        <v>125</v>
      </c>
      <c r="E112" s="33">
        <v>19</v>
      </c>
      <c r="F112" s="34">
        <v>94</v>
      </c>
      <c r="G112" s="35">
        <v>42</v>
      </c>
      <c r="H112" s="36">
        <v>11470</v>
      </c>
      <c r="I112" s="37">
        <v>58</v>
      </c>
      <c r="J112" s="38">
        <v>5.2131411152304165E-3</v>
      </c>
      <c r="K112" s="39">
        <v>1220</v>
      </c>
      <c r="L112" s="40">
        <v>3</v>
      </c>
      <c r="M112" s="38">
        <v>0.13467270118114583</v>
      </c>
      <c r="O112" s="41">
        <v>2644.600826135937</v>
      </c>
      <c r="P112" s="39">
        <v>1424.600826135937</v>
      </c>
      <c r="Q112" s="37">
        <v>139.18951716504932</v>
      </c>
      <c r="R112" s="37">
        <v>28.134051341871672</v>
      </c>
      <c r="S112" s="37">
        <v>62.966686336569929</v>
      </c>
      <c r="T112" s="42">
        <v>9.3780171139572239</v>
      </c>
      <c r="V112" s="41">
        <v>3</v>
      </c>
      <c r="W112" s="37">
        <v>8</v>
      </c>
      <c r="X112" s="37">
        <v>18</v>
      </c>
      <c r="Y112" s="42">
        <v>19</v>
      </c>
      <c r="Z112" s="41">
        <v>15</v>
      </c>
      <c r="AA112" s="37">
        <v>38</v>
      </c>
      <c r="AB112" s="37">
        <v>85</v>
      </c>
      <c r="AC112" s="42">
        <v>94</v>
      </c>
      <c r="AD112" s="20"/>
    </row>
    <row r="113" spans="2:30" x14ac:dyDescent="0.3">
      <c r="B113" s="201"/>
      <c r="C113" s="248"/>
      <c r="D113" s="43" t="s">
        <v>126</v>
      </c>
      <c r="E113" s="44">
        <v>12</v>
      </c>
      <c r="F113" s="45">
        <v>99</v>
      </c>
      <c r="G113" s="46">
        <v>71</v>
      </c>
      <c r="H113" s="47">
        <v>18933</v>
      </c>
      <c r="I113" s="48">
        <v>27</v>
      </c>
      <c r="J113" s="49">
        <v>8.6050916072064072E-3</v>
      </c>
      <c r="K113" s="50">
        <v>2339</v>
      </c>
      <c r="L113" s="51">
        <v>2</v>
      </c>
      <c r="M113" s="49">
        <v>0.15830795262267344</v>
      </c>
      <c r="O113" s="52">
        <v>5070.2633871573416</v>
      </c>
      <c r="P113" s="50">
        <v>2731.2633871573416</v>
      </c>
      <c r="Q113" s="48">
        <v>422.52194892977849</v>
      </c>
      <c r="R113" s="48">
        <v>51.214781688457997</v>
      </c>
      <c r="S113" s="48">
        <v>71.412160382497774</v>
      </c>
      <c r="T113" s="53">
        <v>17.071593896152667</v>
      </c>
      <c r="V113" s="52">
        <v>2</v>
      </c>
      <c r="W113" s="48">
        <v>5</v>
      </c>
      <c r="X113" s="48">
        <v>11</v>
      </c>
      <c r="Y113" s="53">
        <v>12</v>
      </c>
      <c r="Z113" s="52">
        <v>15</v>
      </c>
      <c r="AA113" s="48">
        <v>40</v>
      </c>
      <c r="AB113" s="48">
        <v>90</v>
      </c>
      <c r="AC113" s="53">
        <v>99</v>
      </c>
      <c r="AD113" s="20"/>
    </row>
    <row r="114" spans="2:30" x14ac:dyDescent="0.3">
      <c r="B114" s="201"/>
      <c r="C114" s="248"/>
      <c r="D114" s="32" t="s">
        <v>127</v>
      </c>
      <c r="E114" s="33">
        <v>6</v>
      </c>
      <c r="F114" s="34">
        <v>38</v>
      </c>
      <c r="G114" s="35">
        <v>27</v>
      </c>
      <c r="H114" s="36">
        <v>7030</v>
      </c>
      <c r="I114" s="37">
        <v>105</v>
      </c>
      <c r="J114" s="38">
        <v>3.1951510061089651E-3</v>
      </c>
      <c r="K114" s="39">
        <v>343</v>
      </c>
      <c r="L114" s="40">
        <v>5</v>
      </c>
      <c r="M114" s="38">
        <v>5.9507286606523248E-2</v>
      </c>
      <c r="O114" s="41">
        <v>743.52301915133307</v>
      </c>
      <c r="P114" s="39">
        <v>400.52301915133307</v>
      </c>
      <c r="Q114" s="37">
        <v>123.92050319188884</v>
      </c>
      <c r="R114" s="37">
        <v>19.566395240824555</v>
      </c>
      <c r="S114" s="37">
        <v>27.53788959819752</v>
      </c>
      <c r="T114" s="42">
        <v>6.5221317469415183</v>
      </c>
      <c r="V114" s="41">
        <v>1</v>
      </c>
      <c r="W114" s="37">
        <v>3</v>
      </c>
      <c r="X114" s="37">
        <v>6</v>
      </c>
      <c r="Y114" s="42">
        <v>6</v>
      </c>
      <c r="Z114" s="41">
        <v>6</v>
      </c>
      <c r="AA114" s="37">
        <v>16</v>
      </c>
      <c r="AB114" s="37">
        <v>35</v>
      </c>
      <c r="AC114" s="42">
        <v>38</v>
      </c>
      <c r="AD114" s="20"/>
    </row>
    <row r="115" spans="2:30" x14ac:dyDescent="0.3">
      <c r="B115" s="201"/>
      <c r="C115" s="248"/>
      <c r="D115" s="43" t="s">
        <v>128</v>
      </c>
      <c r="E115" s="44">
        <v>9</v>
      </c>
      <c r="F115" s="45">
        <v>87</v>
      </c>
      <c r="G115" s="46">
        <v>30</v>
      </c>
      <c r="H115" s="47">
        <v>8211</v>
      </c>
      <c r="I115" s="48">
        <v>85</v>
      </c>
      <c r="J115" s="49">
        <v>3.7319181950441981E-3</v>
      </c>
      <c r="K115" s="50">
        <v>285</v>
      </c>
      <c r="L115" s="51">
        <v>6</v>
      </c>
      <c r="M115" s="49">
        <v>4.5702373316228354E-2</v>
      </c>
      <c r="O115" s="52">
        <v>617.7960946301165</v>
      </c>
      <c r="P115" s="50">
        <v>332.7960946301165</v>
      </c>
      <c r="Q115" s="48">
        <v>68.644010514457392</v>
      </c>
      <c r="R115" s="48">
        <v>7.1011045359783509</v>
      </c>
      <c r="S115" s="48">
        <v>20.593203154337218</v>
      </c>
      <c r="T115" s="53">
        <v>2.367034845326117</v>
      </c>
      <c r="V115" s="52">
        <v>2</v>
      </c>
      <c r="W115" s="48">
        <v>4</v>
      </c>
      <c r="X115" s="48">
        <v>9</v>
      </c>
      <c r="Y115" s="53">
        <v>9</v>
      </c>
      <c r="Z115" s="52">
        <v>14</v>
      </c>
      <c r="AA115" s="48">
        <v>35</v>
      </c>
      <c r="AB115" s="48">
        <v>79</v>
      </c>
      <c r="AC115" s="53">
        <v>87</v>
      </c>
      <c r="AD115" s="20"/>
    </row>
    <row r="116" spans="2:30" x14ac:dyDescent="0.3">
      <c r="B116" s="201"/>
      <c r="C116" s="248"/>
      <c r="D116" s="32" t="s">
        <v>129</v>
      </c>
      <c r="E116" s="33">
        <v>8</v>
      </c>
      <c r="F116" s="34">
        <v>57</v>
      </c>
      <c r="G116" s="35">
        <v>31</v>
      </c>
      <c r="H116" s="36">
        <v>8086</v>
      </c>
      <c r="I116" s="37">
        <v>86</v>
      </c>
      <c r="J116" s="38">
        <v>3.6751054104405536E-3</v>
      </c>
      <c r="K116" s="39">
        <v>357</v>
      </c>
      <c r="L116" s="40">
        <v>6</v>
      </c>
      <c r="M116" s="38">
        <v>5.3984575835475578E-2</v>
      </c>
      <c r="O116" s="41">
        <v>773.8708974840406</v>
      </c>
      <c r="P116" s="39">
        <v>416.8708974840406</v>
      </c>
      <c r="Q116" s="37">
        <v>96.733862185505075</v>
      </c>
      <c r="R116" s="37">
        <v>13.576682412000713</v>
      </c>
      <c r="S116" s="37">
        <v>24.96357733819486</v>
      </c>
      <c r="T116" s="42">
        <v>4.5255608040002375</v>
      </c>
      <c r="V116" s="41">
        <v>2</v>
      </c>
      <c r="W116" s="37">
        <v>4</v>
      </c>
      <c r="X116" s="37">
        <v>8</v>
      </c>
      <c r="Y116" s="42">
        <v>8</v>
      </c>
      <c r="Z116" s="41">
        <v>9</v>
      </c>
      <c r="AA116" s="37">
        <v>23</v>
      </c>
      <c r="AB116" s="37">
        <v>52</v>
      </c>
      <c r="AC116" s="42">
        <v>57</v>
      </c>
      <c r="AD116" s="20"/>
    </row>
    <row r="117" spans="2:30" x14ac:dyDescent="0.3">
      <c r="B117" s="201"/>
      <c r="C117" s="251"/>
      <c r="D117" s="75" t="s">
        <v>27</v>
      </c>
      <c r="E117" s="76">
        <v>119</v>
      </c>
      <c r="F117" s="77">
        <v>828</v>
      </c>
      <c r="G117" s="78">
        <v>496</v>
      </c>
      <c r="H117" s="79">
        <v>133035</v>
      </c>
      <c r="I117" s="80">
        <v>6</v>
      </c>
      <c r="J117" s="81">
        <v>6.0464710397966741E-2</v>
      </c>
      <c r="K117" s="82">
        <f>SUM(K109:K116)</f>
        <v>17299</v>
      </c>
      <c r="L117" s="83">
        <v>1</v>
      </c>
      <c r="M117" s="84">
        <v>0.16727747425421843</v>
      </c>
      <c r="N117" s="65"/>
      <c r="O117" s="85">
        <v>37499.139091250472</v>
      </c>
      <c r="P117" s="82">
        <v>20200.139091250472</v>
      </c>
      <c r="Q117" s="70">
        <v>315.11881589286111</v>
      </c>
      <c r="R117" s="70">
        <v>45.288815327597192</v>
      </c>
      <c r="S117" s="70">
        <v>75.603103006553368</v>
      </c>
      <c r="T117" s="71">
        <v>15.096271775865731</v>
      </c>
      <c r="U117" s="65"/>
      <c r="V117" s="69">
        <v>21</v>
      </c>
      <c r="W117" s="70">
        <v>51</v>
      </c>
      <c r="X117" s="70">
        <v>112</v>
      </c>
      <c r="Y117" s="71">
        <v>119</v>
      </c>
      <c r="Z117" s="69">
        <v>128</v>
      </c>
      <c r="AA117" s="70">
        <v>334</v>
      </c>
      <c r="AB117" s="70">
        <v>750</v>
      </c>
      <c r="AC117" s="71">
        <v>828</v>
      </c>
      <c r="AD117" s="20"/>
    </row>
    <row r="118" spans="2:30" x14ac:dyDescent="0.3">
      <c r="B118" s="202"/>
      <c r="C118" s="256" t="s">
        <v>130</v>
      </c>
      <c r="D118" s="257"/>
      <c r="E118" s="128">
        <v>307</v>
      </c>
      <c r="F118" s="129">
        <v>1384</v>
      </c>
      <c r="G118" s="130">
        <v>1022</v>
      </c>
      <c r="H118" s="131">
        <v>270340</v>
      </c>
      <c r="I118" s="132">
        <v>7</v>
      </c>
      <c r="J118" s="133">
        <v>0.12287014551799397</v>
      </c>
      <c r="K118" s="134">
        <f>K92+K100+K108+K117</f>
        <v>26630</v>
      </c>
      <c r="L118" s="135">
        <v>3</v>
      </c>
      <c r="M118" s="136">
        <v>0.12750839123002744</v>
      </c>
      <c r="N118" s="65"/>
      <c r="O118" s="137">
        <v>57726</v>
      </c>
      <c r="P118" s="134">
        <v>31096</v>
      </c>
      <c r="Q118" s="138">
        <v>188.03257328990227</v>
      </c>
      <c r="R118" s="138">
        <v>41.709537572254334</v>
      </c>
      <c r="S118" s="138">
        <v>56.483365949119374</v>
      </c>
      <c r="T118" s="139">
        <v>13.903179190751445</v>
      </c>
      <c r="U118" s="65"/>
      <c r="V118" s="107">
        <v>57</v>
      </c>
      <c r="W118" s="105">
        <v>136</v>
      </c>
      <c r="X118" s="105">
        <v>293</v>
      </c>
      <c r="Y118" s="106">
        <v>307</v>
      </c>
      <c r="Z118" s="107">
        <v>222</v>
      </c>
      <c r="AA118" s="105">
        <v>565</v>
      </c>
      <c r="AB118" s="105">
        <v>1260</v>
      </c>
      <c r="AC118" s="106">
        <v>1384</v>
      </c>
      <c r="AD118" s="20"/>
    </row>
    <row r="119" spans="2:30" s="65" customFormat="1" x14ac:dyDescent="0.3">
      <c r="B119" s="197" t="s">
        <v>241</v>
      </c>
      <c r="C119" s="250" t="s">
        <v>131</v>
      </c>
      <c r="D119" s="21" t="s">
        <v>132</v>
      </c>
      <c r="E119" s="22">
        <v>24</v>
      </c>
      <c r="F119" s="23">
        <v>171</v>
      </c>
      <c r="G119" s="24">
        <v>116</v>
      </c>
      <c r="H119" s="25">
        <v>30575</v>
      </c>
      <c r="I119" s="26">
        <v>13</v>
      </c>
      <c r="J119" s="27">
        <v>1.3896407114051438E-2</v>
      </c>
      <c r="K119" s="28">
        <v>3025</v>
      </c>
      <c r="L119" s="29">
        <v>3</v>
      </c>
      <c r="M119" s="27">
        <v>0.13083910034602075</v>
      </c>
      <c r="N119"/>
      <c r="O119" s="30">
        <v>4600.4933971847331</v>
      </c>
      <c r="P119" s="28">
        <v>1575.4933971847331</v>
      </c>
      <c r="Q119" s="26">
        <v>191.68722488269722</v>
      </c>
      <c r="R119" s="26">
        <v>26.903470158975047</v>
      </c>
      <c r="S119" s="26">
        <v>39.659425837799425</v>
      </c>
      <c r="T119" s="31">
        <v>8.9678233863250156</v>
      </c>
      <c r="U119"/>
      <c r="V119" s="30">
        <v>4</v>
      </c>
      <c r="W119" s="26">
        <v>10</v>
      </c>
      <c r="X119" s="26">
        <v>22</v>
      </c>
      <c r="Y119" s="31">
        <v>24</v>
      </c>
      <c r="Z119" s="30">
        <v>26</v>
      </c>
      <c r="AA119" s="26">
        <v>69</v>
      </c>
      <c r="AB119" s="26">
        <v>154</v>
      </c>
      <c r="AC119" s="31">
        <v>171</v>
      </c>
      <c r="AD119" s="54"/>
    </row>
    <row r="120" spans="2:30" x14ac:dyDescent="0.3">
      <c r="B120" s="198"/>
      <c r="C120" s="248"/>
      <c r="D120" s="32" t="s">
        <v>133</v>
      </c>
      <c r="E120" s="33">
        <v>55</v>
      </c>
      <c r="F120" s="34">
        <v>440</v>
      </c>
      <c r="G120" s="35">
        <v>252</v>
      </c>
      <c r="H120" s="36">
        <v>64938</v>
      </c>
      <c r="I120" s="37">
        <v>2</v>
      </c>
      <c r="J120" s="38">
        <v>2.9514468852731717E-2</v>
      </c>
      <c r="K120" s="39">
        <v>13887</v>
      </c>
      <c r="L120" s="40">
        <v>1</v>
      </c>
      <c r="M120" s="38">
        <v>0.26839450339189425</v>
      </c>
      <c r="O120" s="41">
        <v>21119.686547670877</v>
      </c>
      <c r="P120" s="39">
        <v>7232.6865476708772</v>
      </c>
      <c r="Q120" s="37">
        <v>383.99430086674323</v>
      </c>
      <c r="R120" s="37">
        <v>47.999287608342904</v>
      </c>
      <c r="S120" s="37">
        <v>83.808279951074908</v>
      </c>
      <c r="T120" s="42">
        <v>15.999762536114302</v>
      </c>
      <c r="V120" s="41">
        <v>9</v>
      </c>
      <c r="W120" s="37">
        <v>22</v>
      </c>
      <c r="X120" s="37">
        <v>50</v>
      </c>
      <c r="Y120" s="42">
        <v>55</v>
      </c>
      <c r="Z120" s="41">
        <v>66</v>
      </c>
      <c r="AA120" s="37">
        <v>176</v>
      </c>
      <c r="AB120" s="37">
        <v>396</v>
      </c>
      <c r="AC120" s="42">
        <v>440</v>
      </c>
      <c r="AD120" s="20"/>
    </row>
    <row r="121" spans="2:30" x14ac:dyDescent="0.3">
      <c r="B121" s="198"/>
      <c r="C121" s="248"/>
      <c r="D121" s="43" t="s">
        <v>134</v>
      </c>
      <c r="E121" s="44">
        <v>17</v>
      </c>
      <c r="F121" s="45">
        <v>36</v>
      </c>
      <c r="G121" s="46">
        <v>32</v>
      </c>
      <c r="H121" s="47">
        <v>7074</v>
      </c>
      <c r="I121" s="48">
        <v>104</v>
      </c>
      <c r="J121" s="49">
        <v>3.2151491062894478E-3</v>
      </c>
      <c r="K121" s="50">
        <v>359</v>
      </c>
      <c r="L121" s="51">
        <v>5</v>
      </c>
      <c r="M121" s="49">
        <v>5.9417411453161206E-2</v>
      </c>
      <c r="O121" s="52">
        <v>545.9759106080395</v>
      </c>
      <c r="P121" s="50">
        <v>186.9759106080395</v>
      </c>
      <c r="Q121" s="48">
        <v>32.116230035767032</v>
      </c>
      <c r="R121" s="48">
        <v>15.165997516889986</v>
      </c>
      <c r="S121" s="48">
        <v>17.061747206501234</v>
      </c>
      <c r="T121" s="53">
        <v>5.0553325056299956</v>
      </c>
      <c r="V121" s="52">
        <v>3</v>
      </c>
      <c r="W121" s="48">
        <v>7</v>
      </c>
      <c r="X121" s="48">
        <v>16</v>
      </c>
      <c r="Y121" s="53">
        <v>17</v>
      </c>
      <c r="Z121" s="52">
        <v>6</v>
      </c>
      <c r="AA121" s="48">
        <v>15</v>
      </c>
      <c r="AB121" s="48">
        <v>33</v>
      </c>
      <c r="AC121" s="53">
        <v>36</v>
      </c>
      <c r="AD121" s="20"/>
    </row>
    <row r="122" spans="2:30" x14ac:dyDescent="0.3">
      <c r="B122" s="198"/>
      <c r="C122" s="248"/>
      <c r="D122" s="32" t="s">
        <v>135</v>
      </c>
      <c r="E122" s="33">
        <v>4</v>
      </c>
      <c r="F122" s="34">
        <v>9</v>
      </c>
      <c r="G122" s="35">
        <v>12</v>
      </c>
      <c r="H122" s="36">
        <v>3281</v>
      </c>
      <c r="I122" s="37">
        <v>176</v>
      </c>
      <c r="J122" s="38">
        <v>1.4912219702764601E-3</v>
      </c>
      <c r="K122" s="39">
        <v>261</v>
      </c>
      <c r="L122" s="40">
        <v>3</v>
      </c>
      <c r="M122" s="38">
        <v>0.10073330760324199</v>
      </c>
      <c r="O122" s="41">
        <v>396.93513278188942</v>
      </c>
      <c r="P122" s="39">
        <v>135.93513278188942</v>
      </c>
      <c r="Q122" s="37">
        <v>99.233783195472355</v>
      </c>
      <c r="R122" s="37">
        <v>44.103903642432158</v>
      </c>
      <c r="S122" s="37">
        <v>33.077927731824118</v>
      </c>
      <c r="T122" s="42">
        <v>14.701301214144053</v>
      </c>
      <c r="V122" s="41">
        <v>1</v>
      </c>
      <c r="W122" s="37">
        <v>2</v>
      </c>
      <c r="X122" s="37">
        <v>4</v>
      </c>
      <c r="Y122" s="42">
        <v>4</v>
      </c>
      <c r="Z122" s="41">
        <v>2</v>
      </c>
      <c r="AA122" s="37">
        <v>4</v>
      </c>
      <c r="AB122" s="37">
        <v>9</v>
      </c>
      <c r="AC122" s="42">
        <v>9</v>
      </c>
      <c r="AD122" s="20"/>
    </row>
    <row r="123" spans="2:30" x14ac:dyDescent="0.3">
      <c r="B123" s="198"/>
      <c r="C123" s="248"/>
      <c r="D123" s="43" t="s">
        <v>136</v>
      </c>
      <c r="E123" s="44">
        <v>29</v>
      </c>
      <c r="F123" s="45">
        <v>248</v>
      </c>
      <c r="G123" s="46">
        <v>157</v>
      </c>
      <c r="H123" s="47">
        <v>40940</v>
      </c>
      <c r="I123" s="48">
        <v>8</v>
      </c>
      <c r="J123" s="49">
        <v>1.8607323213385638E-2</v>
      </c>
      <c r="K123" s="50">
        <v>5627</v>
      </c>
      <c r="L123" s="51">
        <v>1</v>
      </c>
      <c r="M123" s="49">
        <v>0.1845281038892897</v>
      </c>
      <c r="O123" s="52">
        <v>8557.6781308953705</v>
      </c>
      <c r="P123" s="50">
        <v>2930.6781308953705</v>
      </c>
      <c r="Q123" s="48">
        <v>295.09234934121969</v>
      </c>
      <c r="R123" s="48">
        <v>34.50676665683617</v>
      </c>
      <c r="S123" s="48">
        <v>54.50750401844185</v>
      </c>
      <c r="T123" s="53">
        <v>11.502255552278724</v>
      </c>
      <c r="V123" s="52">
        <v>5</v>
      </c>
      <c r="W123" s="48">
        <v>12</v>
      </c>
      <c r="X123" s="48">
        <v>27</v>
      </c>
      <c r="Y123" s="53">
        <v>29</v>
      </c>
      <c r="Z123" s="52">
        <v>38</v>
      </c>
      <c r="AA123" s="48">
        <v>100</v>
      </c>
      <c r="AB123" s="48">
        <v>224</v>
      </c>
      <c r="AC123" s="53">
        <v>248</v>
      </c>
      <c r="AD123" s="20"/>
    </row>
    <row r="124" spans="2:30" x14ac:dyDescent="0.3">
      <c r="B124" s="198"/>
      <c r="C124" s="248"/>
      <c r="D124" s="32" t="s">
        <v>137</v>
      </c>
      <c r="E124" s="33">
        <v>19</v>
      </c>
      <c r="F124" s="34">
        <v>77</v>
      </c>
      <c r="G124" s="35">
        <v>52</v>
      </c>
      <c r="H124" s="36">
        <v>12499</v>
      </c>
      <c r="I124" s="37">
        <v>50</v>
      </c>
      <c r="J124" s="38">
        <v>5.6808239580876177E-3</v>
      </c>
      <c r="K124" s="39">
        <v>1261</v>
      </c>
      <c r="L124" s="40">
        <v>2</v>
      </c>
      <c r="M124" s="38">
        <v>0.13020134228187918</v>
      </c>
      <c r="O124" s="41">
        <v>1917.7593963140328</v>
      </c>
      <c r="P124" s="39">
        <v>656.75939631403276</v>
      </c>
      <c r="Q124" s="37">
        <v>100.93470506915962</v>
      </c>
      <c r="R124" s="37">
        <v>24.905966185896528</v>
      </c>
      <c r="S124" s="37">
        <v>36.879988390654475</v>
      </c>
      <c r="T124" s="42">
        <v>8.3019887286321765</v>
      </c>
      <c r="V124" s="41">
        <v>3</v>
      </c>
      <c r="W124" s="37">
        <v>8</v>
      </c>
      <c r="X124" s="37">
        <v>18</v>
      </c>
      <c r="Y124" s="42">
        <v>19</v>
      </c>
      <c r="Z124" s="41">
        <v>12</v>
      </c>
      <c r="AA124" s="37">
        <v>31</v>
      </c>
      <c r="AB124" s="37">
        <v>70</v>
      </c>
      <c r="AC124" s="42">
        <v>77</v>
      </c>
      <c r="AD124" s="20"/>
    </row>
    <row r="125" spans="2:30" x14ac:dyDescent="0.3">
      <c r="B125" s="198"/>
      <c r="C125" s="248"/>
      <c r="D125" s="43" t="s">
        <v>138</v>
      </c>
      <c r="E125" s="44">
        <v>25</v>
      </c>
      <c r="F125" s="45">
        <v>77</v>
      </c>
      <c r="G125" s="46">
        <v>38</v>
      </c>
      <c r="H125" s="47">
        <v>9390</v>
      </c>
      <c r="I125" s="48">
        <v>72</v>
      </c>
      <c r="J125" s="49">
        <v>4.267776379425773E-3</v>
      </c>
      <c r="K125" s="50">
        <v>824</v>
      </c>
      <c r="L125" s="51">
        <v>4</v>
      </c>
      <c r="M125" s="49">
        <v>0.10741754660409333</v>
      </c>
      <c r="O125" s="52">
        <v>1253.1591931504861</v>
      </c>
      <c r="P125" s="50">
        <v>429.15919315048609</v>
      </c>
      <c r="Q125" s="48">
        <v>50.126367726019446</v>
      </c>
      <c r="R125" s="48">
        <v>16.274794716240081</v>
      </c>
      <c r="S125" s="48">
        <v>32.977873503960161</v>
      </c>
      <c r="T125" s="53">
        <v>5.4249315720800269</v>
      </c>
      <c r="V125" s="52">
        <v>4</v>
      </c>
      <c r="W125" s="48">
        <v>10</v>
      </c>
      <c r="X125" s="48">
        <v>23</v>
      </c>
      <c r="Y125" s="53">
        <v>25</v>
      </c>
      <c r="Z125" s="52">
        <v>12</v>
      </c>
      <c r="AA125" s="48">
        <v>31</v>
      </c>
      <c r="AB125" s="48">
        <v>70</v>
      </c>
      <c r="AC125" s="53">
        <v>77</v>
      </c>
      <c r="AD125" s="20"/>
    </row>
    <row r="126" spans="2:30" x14ac:dyDescent="0.3">
      <c r="B126" s="198"/>
      <c r="C126" s="248"/>
      <c r="D126" s="32" t="s">
        <v>139</v>
      </c>
      <c r="E126" s="33">
        <v>10</v>
      </c>
      <c r="F126" s="34">
        <v>20</v>
      </c>
      <c r="G126" s="35">
        <v>35</v>
      </c>
      <c r="H126" s="36">
        <v>8714</v>
      </c>
      <c r="I126" s="37">
        <v>82</v>
      </c>
      <c r="J126" s="38">
        <v>3.9605328402892636E-3</v>
      </c>
      <c r="K126" s="39">
        <v>751</v>
      </c>
      <c r="L126" s="40">
        <v>3</v>
      </c>
      <c r="M126" s="38">
        <v>0.10762396102034967</v>
      </c>
      <c r="O126" s="41">
        <v>1142.1390219126397</v>
      </c>
      <c r="P126" s="39">
        <v>391.13902191263969</v>
      </c>
      <c r="Q126" s="37">
        <v>114.21390219126397</v>
      </c>
      <c r="R126" s="37">
        <v>57.106951095631985</v>
      </c>
      <c r="S126" s="37">
        <v>32.632543483218278</v>
      </c>
      <c r="T126" s="42">
        <v>19.03565036521066</v>
      </c>
      <c r="V126" s="41">
        <v>2</v>
      </c>
      <c r="W126" s="37">
        <v>4</v>
      </c>
      <c r="X126" s="37">
        <v>9</v>
      </c>
      <c r="Y126" s="42">
        <v>10</v>
      </c>
      <c r="Z126" s="41">
        <v>3</v>
      </c>
      <c r="AA126" s="37">
        <v>8</v>
      </c>
      <c r="AB126" s="37">
        <v>18</v>
      </c>
      <c r="AC126" s="42">
        <v>20</v>
      </c>
      <c r="AD126" s="20"/>
    </row>
    <row r="127" spans="2:30" x14ac:dyDescent="0.3">
      <c r="B127" s="198"/>
      <c r="C127" s="248"/>
      <c r="D127" s="43" t="s">
        <v>140</v>
      </c>
      <c r="E127" s="44">
        <v>6</v>
      </c>
      <c r="F127" s="45">
        <v>12</v>
      </c>
      <c r="G127" s="46">
        <v>13</v>
      </c>
      <c r="H127" s="47">
        <v>3492</v>
      </c>
      <c r="I127" s="48">
        <v>174</v>
      </c>
      <c r="J127" s="49">
        <v>1.587121950687412E-3</v>
      </c>
      <c r="K127" s="50">
        <v>293</v>
      </c>
      <c r="L127" s="51">
        <v>5</v>
      </c>
      <c r="M127" s="49">
        <v>0.10324171952078928</v>
      </c>
      <c r="O127" s="52">
        <v>445.601509214918</v>
      </c>
      <c r="P127" s="50">
        <v>152.601509214918</v>
      </c>
      <c r="Q127" s="48">
        <v>74.266918202486337</v>
      </c>
      <c r="R127" s="48">
        <v>37.133459101243169</v>
      </c>
      <c r="S127" s="48">
        <v>34.277039170378309</v>
      </c>
      <c r="T127" s="53">
        <v>12.37781970041439</v>
      </c>
      <c r="V127" s="41">
        <v>1</v>
      </c>
      <c r="W127" s="37">
        <v>3</v>
      </c>
      <c r="X127" s="37">
        <v>6</v>
      </c>
      <c r="Y127" s="42">
        <v>6</v>
      </c>
      <c r="Z127" s="41">
        <v>2</v>
      </c>
      <c r="AA127" s="37">
        <v>5</v>
      </c>
      <c r="AB127" s="37">
        <v>11</v>
      </c>
      <c r="AC127" s="42">
        <v>12</v>
      </c>
      <c r="AD127" s="20"/>
    </row>
    <row r="128" spans="2:30" s="65" customFormat="1" x14ac:dyDescent="0.3">
      <c r="B128" s="198"/>
      <c r="C128" s="251"/>
      <c r="D128" s="75" t="s">
        <v>27</v>
      </c>
      <c r="E128" s="76">
        <v>189</v>
      </c>
      <c r="F128" s="77">
        <v>1090</v>
      </c>
      <c r="G128" s="78">
        <v>707</v>
      </c>
      <c r="H128" s="79">
        <v>180903</v>
      </c>
      <c r="I128" s="80">
        <v>2</v>
      </c>
      <c r="J128" s="81">
        <v>8.2220825385224766E-2</v>
      </c>
      <c r="K128" s="82">
        <f>SUM(K119:K127)</f>
        <v>26288</v>
      </c>
      <c r="L128" s="83">
        <v>1</v>
      </c>
      <c r="M128" s="84">
        <v>0.18622839331255314</v>
      </c>
      <c r="O128" s="85">
        <v>39979.428239732988</v>
      </c>
      <c r="P128" s="82">
        <v>13691.428239732988</v>
      </c>
      <c r="Q128" s="70">
        <v>211.53136634779358</v>
      </c>
      <c r="R128" s="70">
        <v>36.678374531865124</v>
      </c>
      <c r="S128" s="70">
        <v>56.54798902366759</v>
      </c>
      <c r="T128" s="71">
        <v>12.226124843955041</v>
      </c>
      <c r="V128" s="69">
        <v>32</v>
      </c>
      <c r="W128" s="70">
        <v>78</v>
      </c>
      <c r="X128" s="70">
        <v>175</v>
      </c>
      <c r="Y128" s="71">
        <v>189</v>
      </c>
      <c r="Z128" s="69">
        <v>167</v>
      </c>
      <c r="AA128" s="70">
        <v>439</v>
      </c>
      <c r="AB128" s="70">
        <v>985</v>
      </c>
      <c r="AC128" s="71">
        <v>1090</v>
      </c>
      <c r="AD128" s="54"/>
    </row>
    <row r="129" spans="2:30" s="65" customFormat="1" x14ac:dyDescent="0.3">
      <c r="B129" s="198"/>
      <c r="C129" s="247" t="s">
        <v>141</v>
      </c>
      <c r="D129" s="87" t="s">
        <v>142</v>
      </c>
      <c r="E129" s="88">
        <v>6</v>
      </c>
      <c r="F129" s="89">
        <v>20</v>
      </c>
      <c r="G129" s="90">
        <v>21</v>
      </c>
      <c r="H129" s="91">
        <v>5455</v>
      </c>
      <c r="I129" s="73">
        <v>135</v>
      </c>
      <c r="J129" s="92">
        <v>2.4793099201030448E-3</v>
      </c>
      <c r="K129" s="93">
        <v>239</v>
      </c>
      <c r="L129" s="94">
        <v>6</v>
      </c>
      <c r="M129" s="92">
        <v>5.7925351429956376E-2</v>
      </c>
      <c r="N129"/>
      <c r="O129" s="72">
        <v>363.47699898418227</v>
      </c>
      <c r="P129" s="93">
        <v>124.47699898418227</v>
      </c>
      <c r="Q129" s="73">
        <v>60.579499830697046</v>
      </c>
      <c r="R129" s="73">
        <v>18.173849949209114</v>
      </c>
      <c r="S129" s="73">
        <v>17.3084285230563</v>
      </c>
      <c r="T129" s="74">
        <v>6.0579499830697046</v>
      </c>
      <c r="U129"/>
      <c r="V129" s="72">
        <v>1</v>
      </c>
      <c r="W129" s="73">
        <v>3</v>
      </c>
      <c r="X129" s="73">
        <v>6</v>
      </c>
      <c r="Y129" s="74">
        <v>6</v>
      </c>
      <c r="Z129" s="72">
        <v>3</v>
      </c>
      <c r="AA129" s="73">
        <v>8</v>
      </c>
      <c r="AB129" s="73">
        <v>18</v>
      </c>
      <c r="AC129" s="74">
        <v>20</v>
      </c>
      <c r="AD129" s="54"/>
    </row>
    <row r="130" spans="2:30" x14ac:dyDescent="0.3">
      <c r="B130" s="198"/>
      <c r="C130" s="248"/>
      <c r="D130" s="32" t="s">
        <v>143</v>
      </c>
      <c r="E130" s="33">
        <v>6</v>
      </c>
      <c r="F130" s="34">
        <v>32</v>
      </c>
      <c r="G130" s="35">
        <v>21</v>
      </c>
      <c r="H130" s="36">
        <v>5492</v>
      </c>
      <c r="I130" s="37">
        <v>134</v>
      </c>
      <c r="J130" s="38">
        <v>2.4961265043457236E-3</v>
      </c>
      <c r="K130" s="39">
        <v>150</v>
      </c>
      <c r="L130" s="40">
        <v>6</v>
      </c>
      <c r="M130" s="38">
        <v>3.9861812383736379E-2</v>
      </c>
      <c r="O130" s="41">
        <v>228.1236395298215</v>
      </c>
      <c r="P130" s="39">
        <v>78.123639529821503</v>
      </c>
      <c r="Q130" s="37">
        <v>38.020606588303586</v>
      </c>
      <c r="R130" s="37">
        <v>7.128863735306922</v>
      </c>
      <c r="S130" s="37">
        <v>10.863030453801024</v>
      </c>
      <c r="T130" s="42">
        <v>2.3762879117689741</v>
      </c>
      <c r="V130" s="41">
        <v>1</v>
      </c>
      <c r="W130" s="37">
        <v>3</v>
      </c>
      <c r="X130" s="37">
        <v>6</v>
      </c>
      <c r="Y130" s="42">
        <v>6</v>
      </c>
      <c r="Z130" s="41">
        <v>5</v>
      </c>
      <c r="AA130" s="37">
        <v>13</v>
      </c>
      <c r="AB130" s="37">
        <v>29</v>
      </c>
      <c r="AC130" s="42">
        <v>32</v>
      </c>
      <c r="AD130" s="20"/>
    </row>
    <row r="131" spans="2:30" x14ac:dyDescent="0.3">
      <c r="B131" s="198"/>
      <c r="C131" s="248"/>
      <c r="D131" s="43" t="s">
        <v>144</v>
      </c>
      <c r="E131" s="44">
        <v>6</v>
      </c>
      <c r="F131" s="45">
        <v>19</v>
      </c>
      <c r="G131" s="46">
        <v>20</v>
      </c>
      <c r="H131" s="47">
        <v>5383</v>
      </c>
      <c r="I131" s="48">
        <v>137</v>
      </c>
      <c r="J131" s="49">
        <v>2.4465857561713454E-3</v>
      </c>
      <c r="K131" s="50">
        <v>96</v>
      </c>
      <c r="L131" s="51">
        <v>7</v>
      </c>
      <c r="M131" s="49">
        <v>2.2792022792022793E-2</v>
      </c>
      <c r="O131" s="52">
        <v>145.99912929908575</v>
      </c>
      <c r="P131" s="50">
        <v>49.999129299085752</v>
      </c>
      <c r="Q131" s="48">
        <v>24.333188216514291</v>
      </c>
      <c r="R131" s="48">
        <v>7.6841646999518813</v>
      </c>
      <c r="S131" s="48">
        <v>7.2999564649542874</v>
      </c>
      <c r="T131" s="53">
        <v>2.5613882333172939</v>
      </c>
      <c r="V131" s="52">
        <v>1</v>
      </c>
      <c r="W131" s="48">
        <v>3</v>
      </c>
      <c r="X131" s="48">
        <v>6</v>
      </c>
      <c r="Y131" s="53">
        <v>6</v>
      </c>
      <c r="Z131" s="52">
        <v>3</v>
      </c>
      <c r="AA131" s="48">
        <v>8</v>
      </c>
      <c r="AB131" s="48">
        <v>18</v>
      </c>
      <c r="AC131" s="53">
        <v>19</v>
      </c>
      <c r="AD131" s="20"/>
    </row>
    <row r="132" spans="2:30" x14ac:dyDescent="0.3">
      <c r="B132" s="198"/>
      <c r="C132" s="248"/>
      <c r="D132" s="32" t="s">
        <v>145</v>
      </c>
      <c r="E132" s="33">
        <v>14</v>
      </c>
      <c r="F132" s="34">
        <v>27</v>
      </c>
      <c r="G132" s="35">
        <v>21</v>
      </c>
      <c r="H132" s="36">
        <v>5515</v>
      </c>
      <c r="I132" s="37">
        <v>133</v>
      </c>
      <c r="J132" s="38">
        <v>2.5065800567127942E-3</v>
      </c>
      <c r="K132" s="39">
        <v>265</v>
      </c>
      <c r="L132" s="40">
        <v>6</v>
      </c>
      <c r="M132" s="38">
        <v>6.4258001939864209E-2</v>
      </c>
      <c r="O132" s="41">
        <v>403.01842983601802</v>
      </c>
      <c r="P132" s="39">
        <v>138.01842983601802</v>
      </c>
      <c r="Q132" s="37">
        <v>28.787030702572714</v>
      </c>
      <c r="R132" s="37">
        <v>14.926608512445112</v>
      </c>
      <c r="S132" s="37">
        <v>19.191353801715145</v>
      </c>
      <c r="T132" s="42">
        <v>4.9755361708150376</v>
      </c>
      <c r="V132" s="41">
        <v>3</v>
      </c>
      <c r="W132" s="37">
        <v>6</v>
      </c>
      <c r="X132" s="37">
        <v>13</v>
      </c>
      <c r="Y132" s="42">
        <v>14</v>
      </c>
      <c r="Z132" s="41">
        <v>5</v>
      </c>
      <c r="AA132" s="37">
        <v>11</v>
      </c>
      <c r="AB132" s="37">
        <v>25</v>
      </c>
      <c r="AC132" s="42">
        <v>27</v>
      </c>
      <c r="AD132" s="20"/>
    </row>
    <row r="133" spans="2:30" x14ac:dyDescent="0.3">
      <c r="B133" s="198"/>
      <c r="C133" s="248"/>
      <c r="D133" s="43" t="s">
        <v>146</v>
      </c>
      <c r="E133" s="44">
        <v>8</v>
      </c>
      <c r="F133" s="45">
        <v>23</v>
      </c>
      <c r="G133" s="46">
        <v>22</v>
      </c>
      <c r="H133" s="47">
        <v>5802</v>
      </c>
      <c r="I133" s="48">
        <v>125</v>
      </c>
      <c r="J133" s="49">
        <v>2.6370222101627619E-3</v>
      </c>
      <c r="K133" s="50">
        <v>248</v>
      </c>
      <c r="L133" s="51">
        <v>6</v>
      </c>
      <c r="M133" s="49">
        <v>6.01795680660034E-2</v>
      </c>
      <c r="O133" s="52">
        <v>377.16441735597152</v>
      </c>
      <c r="P133" s="50">
        <v>129.16441735597152</v>
      </c>
      <c r="Q133" s="48">
        <v>47.14555216949644</v>
      </c>
      <c r="R133" s="48">
        <v>16.398452928520502</v>
      </c>
      <c r="S133" s="48">
        <v>17.143837152544162</v>
      </c>
      <c r="T133" s="53">
        <v>5.466150976173501</v>
      </c>
      <c r="V133" s="52">
        <v>2</v>
      </c>
      <c r="W133" s="48">
        <v>4</v>
      </c>
      <c r="X133" s="48">
        <v>8</v>
      </c>
      <c r="Y133" s="53">
        <v>8</v>
      </c>
      <c r="Z133" s="52">
        <v>4</v>
      </c>
      <c r="AA133" s="48">
        <v>10</v>
      </c>
      <c r="AB133" s="48">
        <v>21</v>
      </c>
      <c r="AC133" s="53">
        <v>23</v>
      </c>
      <c r="AD133" s="20"/>
    </row>
    <row r="134" spans="2:30" x14ac:dyDescent="0.3">
      <c r="B134" s="198"/>
      <c r="C134" s="248"/>
      <c r="D134" s="32" t="s">
        <v>147</v>
      </c>
      <c r="E134" s="33">
        <v>5</v>
      </c>
      <c r="F134" s="34">
        <v>22</v>
      </c>
      <c r="G134" s="35">
        <v>11</v>
      </c>
      <c r="H134" s="36">
        <v>3011</v>
      </c>
      <c r="I134" s="37">
        <v>183</v>
      </c>
      <c r="J134" s="38">
        <v>1.368506355532588E-3</v>
      </c>
      <c r="K134" s="39">
        <v>98</v>
      </c>
      <c r="L134" s="40">
        <v>5</v>
      </c>
      <c r="M134" s="38">
        <v>4.5560204556020459E-2</v>
      </c>
      <c r="O134" s="41">
        <v>149.04077782615005</v>
      </c>
      <c r="P134" s="39">
        <v>51.040777826150048</v>
      </c>
      <c r="Q134" s="37">
        <v>29.80815556523001</v>
      </c>
      <c r="R134" s="37">
        <v>6.7745808102795477</v>
      </c>
      <c r="S134" s="37">
        <v>13.549161620559095</v>
      </c>
      <c r="T134" s="42">
        <v>2.2581936034265158</v>
      </c>
      <c r="V134" s="41">
        <v>1</v>
      </c>
      <c r="W134" s="37">
        <v>2</v>
      </c>
      <c r="X134" s="37">
        <v>5</v>
      </c>
      <c r="Y134" s="42">
        <v>5</v>
      </c>
      <c r="Z134" s="41">
        <v>4</v>
      </c>
      <c r="AA134" s="37">
        <v>9</v>
      </c>
      <c r="AB134" s="37">
        <v>20</v>
      </c>
      <c r="AC134" s="42">
        <v>22</v>
      </c>
      <c r="AD134" s="20"/>
    </row>
    <row r="135" spans="2:30" x14ac:dyDescent="0.3">
      <c r="B135" s="198"/>
      <c r="C135" s="249"/>
      <c r="D135" s="55" t="s">
        <v>27</v>
      </c>
      <c r="E135" s="56">
        <v>45</v>
      </c>
      <c r="F135" s="57">
        <v>143</v>
      </c>
      <c r="G135" s="58">
        <v>116</v>
      </c>
      <c r="H135" s="59">
        <v>30658</v>
      </c>
      <c r="I135" s="60">
        <v>22</v>
      </c>
      <c r="J135" s="61">
        <v>1.3934130803028258E-2</v>
      </c>
      <c r="K135" s="62">
        <f>SUM(K129:K134)</f>
        <v>1096</v>
      </c>
      <c r="L135" s="63">
        <v>6</v>
      </c>
      <c r="M135" s="64">
        <v>4.8717606792016713E-2</v>
      </c>
      <c r="N135" s="65"/>
      <c r="O135" s="66">
        <v>1666.8233928312293</v>
      </c>
      <c r="P135" s="62">
        <v>570.82339283122906</v>
      </c>
      <c r="Q135" s="67">
        <v>37.040519840693982</v>
      </c>
      <c r="R135" s="67">
        <v>11.656107642176428</v>
      </c>
      <c r="S135" s="67">
        <v>14.369167179579563</v>
      </c>
      <c r="T135" s="68">
        <v>3.8853692140588092</v>
      </c>
      <c r="U135" s="65"/>
      <c r="V135" s="86">
        <v>9</v>
      </c>
      <c r="W135" s="67">
        <v>21</v>
      </c>
      <c r="X135" s="67">
        <v>44</v>
      </c>
      <c r="Y135" s="68">
        <v>45</v>
      </c>
      <c r="Z135" s="86">
        <v>24</v>
      </c>
      <c r="AA135" s="67">
        <v>59</v>
      </c>
      <c r="AB135" s="67">
        <v>131</v>
      </c>
      <c r="AC135" s="68">
        <v>143</v>
      </c>
      <c r="AD135" s="20"/>
    </row>
    <row r="136" spans="2:30" x14ac:dyDescent="0.3">
      <c r="B136" s="198"/>
      <c r="C136" s="250" t="s">
        <v>148</v>
      </c>
      <c r="D136" s="21" t="s">
        <v>149</v>
      </c>
      <c r="E136" s="22">
        <v>13</v>
      </c>
      <c r="F136" s="23">
        <v>56</v>
      </c>
      <c r="G136" s="24">
        <v>35</v>
      </c>
      <c r="H136" s="25">
        <v>8721</v>
      </c>
      <c r="I136" s="26">
        <v>81</v>
      </c>
      <c r="J136" s="27">
        <v>3.9637143562270679E-3</v>
      </c>
      <c r="K136" s="28">
        <v>806</v>
      </c>
      <c r="L136" s="29">
        <v>5</v>
      </c>
      <c r="M136" s="27">
        <v>0.11203780928551571</v>
      </c>
      <c r="O136" s="30">
        <v>1225.7843564069076</v>
      </c>
      <c r="P136" s="28">
        <v>419.78435640690759</v>
      </c>
      <c r="Q136" s="26">
        <v>94.291104338992895</v>
      </c>
      <c r="R136" s="26">
        <v>21.889006364409063</v>
      </c>
      <c r="S136" s="26">
        <v>35.022410183054504</v>
      </c>
      <c r="T136" s="31">
        <v>7.296335454803021</v>
      </c>
      <c r="V136" s="30">
        <v>2</v>
      </c>
      <c r="W136" s="26">
        <v>6</v>
      </c>
      <c r="X136" s="26">
        <v>12</v>
      </c>
      <c r="Y136" s="31">
        <v>13</v>
      </c>
      <c r="Z136" s="30">
        <v>9</v>
      </c>
      <c r="AA136" s="26">
        <v>23</v>
      </c>
      <c r="AB136" s="26">
        <v>51</v>
      </c>
      <c r="AC136" s="31">
        <v>56</v>
      </c>
      <c r="AD136" s="20"/>
    </row>
    <row r="137" spans="2:30" x14ac:dyDescent="0.3">
      <c r="B137" s="198"/>
      <c r="C137" s="248"/>
      <c r="D137" s="32" t="s">
        <v>150</v>
      </c>
      <c r="E137" s="33">
        <v>20</v>
      </c>
      <c r="F137" s="34">
        <v>41</v>
      </c>
      <c r="G137" s="35">
        <v>30</v>
      </c>
      <c r="H137" s="36">
        <v>7113</v>
      </c>
      <c r="I137" s="37">
        <v>102</v>
      </c>
      <c r="J137" s="38">
        <v>3.2328746950857851E-3</v>
      </c>
      <c r="K137" s="39">
        <v>384</v>
      </c>
      <c r="L137" s="40">
        <v>5</v>
      </c>
      <c r="M137" s="38">
        <v>6.8000708340711882E-2</v>
      </c>
      <c r="O137" s="41">
        <v>583.99651719634301</v>
      </c>
      <c r="P137" s="39">
        <v>199.99651719634301</v>
      </c>
      <c r="Q137" s="37">
        <v>29.19982585981715</v>
      </c>
      <c r="R137" s="37">
        <v>14.243817492593731</v>
      </c>
      <c r="S137" s="37">
        <v>19.466550573211432</v>
      </c>
      <c r="T137" s="42">
        <v>4.7479391641979101</v>
      </c>
      <c r="V137" s="41">
        <v>3</v>
      </c>
      <c r="W137" s="37">
        <v>8</v>
      </c>
      <c r="X137" s="37">
        <v>18</v>
      </c>
      <c r="Y137" s="42">
        <v>20</v>
      </c>
      <c r="Z137" s="41">
        <v>7</v>
      </c>
      <c r="AA137" s="37">
        <v>17</v>
      </c>
      <c r="AB137" s="37">
        <v>37</v>
      </c>
      <c r="AC137" s="42">
        <v>41</v>
      </c>
      <c r="AD137" s="20"/>
    </row>
    <row r="138" spans="2:30" x14ac:dyDescent="0.3">
      <c r="B138" s="198"/>
      <c r="C138" s="248"/>
      <c r="D138" s="43" t="s">
        <v>151</v>
      </c>
      <c r="E138" s="44">
        <v>24</v>
      </c>
      <c r="F138" s="45">
        <v>98</v>
      </c>
      <c r="G138" s="46">
        <v>44</v>
      </c>
      <c r="H138" s="47">
        <v>9966</v>
      </c>
      <c r="I138" s="48">
        <v>68</v>
      </c>
      <c r="J138" s="49">
        <v>4.5295696908793665E-3</v>
      </c>
      <c r="K138" s="50">
        <v>644</v>
      </c>
      <c r="L138" s="51">
        <v>4</v>
      </c>
      <c r="M138" s="49">
        <v>7.561347892450393E-2</v>
      </c>
      <c r="O138" s="52">
        <v>979.41082571470031</v>
      </c>
      <c r="P138" s="50">
        <v>335.41082571470031</v>
      </c>
      <c r="Q138" s="48">
        <v>40.808784404779182</v>
      </c>
      <c r="R138" s="48">
        <v>9.9939880174969424</v>
      </c>
      <c r="S138" s="48">
        <v>22.259336948061371</v>
      </c>
      <c r="T138" s="53">
        <v>3.3313293391656473</v>
      </c>
      <c r="V138" s="52">
        <v>4</v>
      </c>
      <c r="W138" s="48">
        <v>10</v>
      </c>
      <c r="X138" s="48">
        <v>22</v>
      </c>
      <c r="Y138" s="53">
        <v>24</v>
      </c>
      <c r="Z138" s="52">
        <v>15</v>
      </c>
      <c r="AA138" s="48">
        <v>40</v>
      </c>
      <c r="AB138" s="48">
        <v>89</v>
      </c>
      <c r="AC138" s="53">
        <v>98</v>
      </c>
      <c r="AD138" s="20"/>
    </row>
    <row r="139" spans="2:30" s="65" customFormat="1" x14ac:dyDescent="0.3">
      <c r="B139" s="198"/>
      <c r="C139" s="248"/>
      <c r="D139" s="32" t="s">
        <v>152</v>
      </c>
      <c r="E139" s="33">
        <v>23</v>
      </c>
      <c r="F139" s="34">
        <v>70</v>
      </c>
      <c r="G139" s="35">
        <v>43</v>
      </c>
      <c r="H139" s="36">
        <v>9965</v>
      </c>
      <c r="I139" s="37">
        <v>69</v>
      </c>
      <c r="J139" s="38">
        <v>4.5291151886025375E-3</v>
      </c>
      <c r="K139" s="39">
        <v>1224</v>
      </c>
      <c r="L139" s="40">
        <v>2</v>
      </c>
      <c r="M139" s="38">
        <v>0.17023643949930459</v>
      </c>
      <c r="N139"/>
      <c r="O139" s="41">
        <v>1861.4888985633436</v>
      </c>
      <c r="P139" s="39">
        <v>637.48889856334358</v>
      </c>
      <c r="Q139" s="37">
        <v>80.934299937536679</v>
      </c>
      <c r="R139" s="37">
        <v>26.59269855090491</v>
      </c>
      <c r="S139" s="37">
        <v>43.290439501473109</v>
      </c>
      <c r="T139" s="42">
        <v>8.8642328503016365</v>
      </c>
      <c r="U139"/>
      <c r="V139" s="41">
        <v>4</v>
      </c>
      <c r="W139" s="37">
        <v>10</v>
      </c>
      <c r="X139" s="37">
        <v>21</v>
      </c>
      <c r="Y139" s="42">
        <v>23</v>
      </c>
      <c r="Z139" s="41">
        <v>11</v>
      </c>
      <c r="AA139" s="37">
        <v>28</v>
      </c>
      <c r="AB139" s="37">
        <v>63</v>
      </c>
      <c r="AC139" s="42">
        <v>70</v>
      </c>
      <c r="AD139" s="54"/>
    </row>
    <row r="140" spans="2:30" x14ac:dyDescent="0.3">
      <c r="B140" s="198"/>
      <c r="C140" s="248"/>
      <c r="D140" s="43" t="s">
        <v>153</v>
      </c>
      <c r="E140" s="44">
        <v>11</v>
      </c>
      <c r="F140" s="45">
        <v>49</v>
      </c>
      <c r="G140" s="46">
        <v>22</v>
      </c>
      <c r="H140" s="47">
        <v>5072</v>
      </c>
      <c r="I140" s="48">
        <v>145</v>
      </c>
      <c r="J140" s="49">
        <v>2.305235548077478E-3</v>
      </c>
      <c r="K140" s="50">
        <v>358</v>
      </c>
      <c r="L140" s="51">
        <v>5</v>
      </c>
      <c r="M140" s="49">
        <v>8.5278704144830866E-2</v>
      </c>
      <c r="O140" s="52">
        <v>544.45508634450732</v>
      </c>
      <c r="P140" s="50">
        <v>186.45508634450732</v>
      </c>
      <c r="Q140" s="48">
        <v>49.495916940409757</v>
      </c>
      <c r="R140" s="48">
        <v>11.111328292745048</v>
      </c>
      <c r="S140" s="48">
        <v>24.747958470204878</v>
      </c>
      <c r="T140" s="53">
        <v>3.7037760975816827</v>
      </c>
      <c r="V140" s="52">
        <v>2</v>
      </c>
      <c r="W140" s="48">
        <v>5</v>
      </c>
      <c r="X140" s="48">
        <v>10</v>
      </c>
      <c r="Y140" s="53">
        <v>11</v>
      </c>
      <c r="Z140" s="52">
        <v>8</v>
      </c>
      <c r="AA140" s="48">
        <v>20</v>
      </c>
      <c r="AB140" s="48">
        <v>45</v>
      </c>
      <c r="AC140" s="53">
        <v>49</v>
      </c>
      <c r="AD140" s="20"/>
    </row>
    <row r="141" spans="2:30" x14ac:dyDescent="0.3">
      <c r="B141" s="198"/>
      <c r="C141" s="248"/>
      <c r="D141" s="32" t="s">
        <v>154</v>
      </c>
      <c r="E141" s="33">
        <v>35</v>
      </c>
      <c r="F141" s="34">
        <v>89</v>
      </c>
      <c r="G141" s="35">
        <v>53</v>
      </c>
      <c r="H141" s="36">
        <v>12179</v>
      </c>
      <c r="I141" s="37">
        <v>51</v>
      </c>
      <c r="J141" s="38">
        <v>5.5353832295022883E-3</v>
      </c>
      <c r="K141" s="39">
        <v>418</v>
      </c>
      <c r="L141" s="40">
        <v>7</v>
      </c>
      <c r="M141" s="38">
        <v>4.2329113924050636E-2</v>
      </c>
      <c r="O141" s="41">
        <v>635.70454215643588</v>
      </c>
      <c r="P141" s="39">
        <v>217.70454215643588</v>
      </c>
      <c r="Q141" s="37">
        <v>18.162986918755312</v>
      </c>
      <c r="R141" s="37">
        <v>7.1427476646790549</v>
      </c>
      <c r="S141" s="37">
        <v>11.994425323706338</v>
      </c>
      <c r="T141" s="42">
        <v>2.3809158882263515</v>
      </c>
      <c r="V141" s="41">
        <v>6</v>
      </c>
      <c r="W141" s="37">
        <v>14</v>
      </c>
      <c r="X141" s="37">
        <v>32</v>
      </c>
      <c r="Y141" s="42">
        <v>35</v>
      </c>
      <c r="Z141" s="41">
        <v>14</v>
      </c>
      <c r="AA141" s="37">
        <v>36</v>
      </c>
      <c r="AB141" s="37">
        <v>81</v>
      </c>
      <c r="AC141" s="42">
        <v>89</v>
      </c>
      <c r="AD141" s="20"/>
    </row>
    <row r="142" spans="2:30" x14ac:dyDescent="0.3">
      <c r="B142" s="198"/>
      <c r="C142" s="248"/>
      <c r="D142" s="43" t="s">
        <v>155</v>
      </c>
      <c r="E142" s="44">
        <v>39</v>
      </c>
      <c r="F142" s="45">
        <v>148</v>
      </c>
      <c r="G142" s="46">
        <v>93</v>
      </c>
      <c r="H142" s="47">
        <v>23070</v>
      </c>
      <c r="I142" s="48">
        <v>21</v>
      </c>
      <c r="J142" s="49">
        <v>1.0485367526448623E-2</v>
      </c>
      <c r="K142" s="50">
        <v>2429</v>
      </c>
      <c r="L142" s="51">
        <v>2</v>
      </c>
      <c r="M142" s="49">
        <v>0.13084464555052791</v>
      </c>
      <c r="O142" s="52">
        <v>3694.0821361195763</v>
      </c>
      <c r="P142" s="50">
        <v>1265.0821361195763</v>
      </c>
      <c r="Q142" s="48">
        <v>94.720054772296834</v>
      </c>
      <c r="R142" s="48">
        <v>24.960014433240381</v>
      </c>
      <c r="S142" s="48">
        <v>39.721313291608347</v>
      </c>
      <c r="T142" s="53">
        <v>8.3200048110801266</v>
      </c>
      <c r="V142" s="52">
        <v>6</v>
      </c>
      <c r="W142" s="48">
        <v>16</v>
      </c>
      <c r="X142" s="48">
        <v>36</v>
      </c>
      <c r="Y142" s="53">
        <v>39</v>
      </c>
      <c r="Z142" s="52">
        <v>23</v>
      </c>
      <c r="AA142" s="48">
        <v>60</v>
      </c>
      <c r="AB142" s="48">
        <v>134</v>
      </c>
      <c r="AC142" s="53">
        <v>148</v>
      </c>
      <c r="AD142" s="20"/>
    </row>
    <row r="143" spans="2:30" x14ac:dyDescent="0.3">
      <c r="B143" s="198"/>
      <c r="C143" s="248"/>
      <c r="D143" s="32" t="s">
        <v>156</v>
      </c>
      <c r="E143" s="33">
        <v>22</v>
      </c>
      <c r="F143" s="34">
        <v>79</v>
      </c>
      <c r="G143" s="35">
        <v>34</v>
      </c>
      <c r="H143" s="36">
        <v>8521</v>
      </c>
      <c r="I143" s="37">
        <v>83</v>
      </c>
      <c r="J143" s="38">
        <v>3.8728139008612364E-3</v>
      </c>
      <c r="K143" s="39">
        <v>808</v>
      </c>
      <c r="L143" s="40">
        <v>3</v>
      </c>
      <c r="M143" s="38">
        <v>0.12161348585189645</v>
      </c>
      <c r="O143" s="41">
        <v>1228.8260049339717</v>
      </c>
      <c r="P143" s="39">
        <v>420.82600493397172</v>
      </c>
      <c r="Q143" s="37">
        <v>55.855727496998718</v>
      </c>
      <c r="R143" s="37">
        <v>15.554759556126225</v>
      </c>
      <c r="S143" s="37">
        <v>36.141941321587403</v>
      </c>
      <c r="T143" s="42">
        <v>5.184919852042075</v>
      </c>
      <c r="V143" s="41">
        <v>4</v>
      </c>
      <c r="W143" s="37">
        <v>9</v>
      </c>
      <c r="X143" s="37">
        <v>20</v>
      </c>
      <c r="Y143" s="42">
        <v>22</v>
      </c>
      <c r="Z143" s="41">
        <v>12</v>
      </c>
      <c r="AA143" s="37">
        <v>32</v>
      </c>
      <c r="AB143" s="37">
        <v>72</v>
      </c>
      <c r="AC143" s="42">
        <v>79</v>
      </c>
      <c r="AD143" s="20"/>
    </row>
    <row r="144" spans="2:30" x14ac:dyDescent="0.3">
      <c r="B144" s="198"/>
      <c r="C144" s="251"/>
      <c r="D144" s="75" t="s">
        <v>27</v>
      </c>
      <c r="E144" s="76">
        <v>187</v>
      </c>
      <c r="F144" s="77">
        <v>630</v>
      </c>
      <c r="G144" s="78">
        <v>354</v>
      </c>
      <c r="H144" s="79">
        <v>84607</v>
      </c>
      <c r="I144" s="80">
        <v>11</v>
      </c>
      <c r="J144" s="81">
        <v>3.8454074135684385E-2</v>
      </c>
      <c r="K144" s="82">
        <f>SUM(K136:K143)</f>
        <v>7071</v>
      </c>
      <c r="L144" s="83">
        <v>5</v>
      </c>
      <c r="M144" s="84">
        <v>0.10424744578277728</v>
      </c>
      <c r="N144" s="65"/>
      <c r="O144" s="85">
        <v>10753.748367435786</v>
      </c>
      <c r="P144" s="82">
        <v>3682.7483674357854</v>
      </c>
      <c r="Q144" s="70">
        <v>57.506675761688697</v>
      </c>
      <c r="R144" s="70">
        <v>17.069441853072675</v>
      </c>
      <c r="S144" s="70">
        <v>30.377820246993746</v>
      </c>
      <c r="T144" s="71">
        <v>5.6898139510242247</v>
      </c>
      <c r="U144" s="65"/>
      <c r="V144" s="69">
        <v>31</v>
      </c>
      <c r="W144" s="70">
        <v>78</v>
      </c>
      <c r="X144" s="70">
        <v>171</v>
      </c>
      <c r="Y144" s="71">
        <v>187</v>
      </c>
      <c r="Z144" s="69">
        <v>99</v>
      </c>
      <c r="AA144" s="70">
        <v>256</v>
      </c>
      <c r="AB144" s="70">
        <v>572</v>
      </c>
      <c r="AC144" s="71">
        <v>630</v>
      </c>
      <c r="AD144" s="20"/>
    </row>
    <row r="145" spans="2:30" x14ac:dyDescent="0.3">
      <c r="B145" s="199"/>
      <c r="C145" s="252" t="s">
        <v>157</v>
      </c>
      <c r="D145" s="253"/>
      <c r="E145" s="95">
        <v>421</v>
      </c>
      <c r="F145" s="96">
        <v>1863</v>
      </c>
      <c r="G145" s="97">
        <v>1177</v>
      </c>
      <c r="H145" s="98">
        <v>296168</v>
      </c>
      <c r="I145" s="99">
        <v>6</v>
      </c>
      <c r="J145" s="100">
        <v>0.1346090303239374</v>
      </c>
      <c r="K145" s="101">
        <f>K128+K135+K144</f>
        <v>34455</v>
      </c>
      <c r="L145" s="102">
        <v>1</v>
      </c>
      <c r="M145" s="103">
        <v>0.14884269459060159</v>
      </c>
      <c r="N145" s="65"/>
      <c r="O145" s="104">
        <v>52400</v>
      </c>
      <c r="P145" s="101">
        <v>17945</v>
      </c>
      <c r="Q145" s="105">
        <v>124.46555819477435</v>
      </c>
      <c r="R145" s="105">
        <v>28.126677402039721</v>
      </c>
      <c r="S145" s="105">
        <v>44.519966015293122</v>
      </c>
      <c r="T145" s="106">
        <v>9.3755591340132405</v>
      </c>
      <c r="U145" s="65"/>
      <c r="V145" s="107">
        <v>72</v>
      </c>
      <c r="W145" s="105">
        <v>177</v>
      </c>
      <c r="X145" s="105">
        <v>390</v>
      </c>
      <c r="Y145" s="106">
        <v>421</v>
      </c>
      <c r="Z145" s="107">
        <v>290</v>
      </c>
      <c r="AA145" s="105">
        <v>754</v>
      </c>
      <c r="AB145" s="105">
        <v>1688</v>
      </c>
      <c r="AC145" s="106">
        <v>1863</v>
      </c>
      <c r="AD145" s="20"/>
    </row>
    <row r="146" spans="2:30" s="65" customFormat="1" x14ac:dyDescent="0.3">
      <c r="B146" s="200" t="s">
        <v>242</v>
      </c>
      <c r="C146" s="250" t="s">
        <v>158</v>
      </c>
      <c r="D146" s="21" t="s">
        <v>159</v>
      </c>
      <c r="E146" s="22">
        <v>9</v>
      </c>
      <c r="F146" s="23">
        <v>18</v>
      </c>
      <c r="G146" s="24">
        <v>22</v>
      </c>
      <c r="H146" s="25">
        <v>5749</v>
      </c>
      <c r="I146" s="26">
        <v>128</v>
      </c>
      <c r="J146" s="27">
        <v>2.6129335894908164E-3</v>
      </c>
      <c r="K146" s="28">
        <v>167</v>
      </c>
      <c r="L146" s="29">
        <v>7</v>
      </c>
      <c r="M146" s="27">
        <v>3.5180113756056459E-2</v>
      </c>
      <c r="N146"/>
      <c r="O146" s="30">
        <v>405.82289868241708</v>
      </c>
      <c r="P146" s="28">
        <v>238.82289868241708</v>
      </c>
      <c r="Q146" s="26">
        <v>45.091433186935234</v>
      </c>
      <c r="R146" s="26">
        <v>22.545716593467617</v>
      </c>
      <c r="S146" s="26">
        <v>18.446495394655322</v>
      </c>
      <c r="T146" s="31">
        <v>7.5152388644892056</v>
      </c>
      <c r="U146"/>
      <c r="V146" s="30">
        <v>2</v>
      </c>
      <c r="W146" s="26">
        <v>4</v>
      </c>
      <c r="X146" s="26">
        <v>9</v>
      </c>
      <c r="Y146" s="31">
        <v>9</v>
      </c>
      <c r="Z146" s="30">
        <v>3</v>
      </c>
      <c r="AA146" s="26">
        <v>8</v>
      </c>
      <c r="AB146" s="26">
        <v>17</v>
      </c>
      <c r="AC146" s="31">
        <v>18</v>
      </c>
      <c r="AD146" s="54"/>
    </row>
    <row r="147" spans="2:30" x14ac:dyDescent="0.3">
      <c r="B147" s="201"/>
      <c r="C147" s="248"/>
      <c r="D147" s="32" t="s">
        <v>160</v>
      </c>
      <c r="E147" s="33">
        <v>5</v>
      </c>
      <c r="F147" s="34">
        <v>14</v>
      </c>
      <c r="G147" s="35">
        <v>25</v>
      </c>
      <c r="H147" s="36">
        <v>6305</v>
      </c>
      <c r="I147" s="37">
        <v>115</v>
      </c>
      <c r="J147" s="38">
        <v>2.865636855407827E-3</v>
      </c>
      <c r="K147" s="39">
        <v>754</v>
      </c>
      <c r="L147" s="40">
        <v>1</v>
      </c>
      <c r="M147" s="38">
        <v>0.14845442016144911</v>
      </c>
      <c r="O147" s="41">
        <v>1832.278237164925</v>
      </c>
      <c r="P147" s="39">
        <v>1078.278237164925</v>
      </c>
      <c r="Q147" s="37">
        <v>366.45564743298502</v>
      </c>
      <c r="R147" s="37">
        <v>130.87701694035178</v>
      </c>
      <c r="S147" s="37">
        <v>73.291129486597001</v>
      </c>
      <c r="T147" s="42">
        <v>43.625672313450593</v>
      </c>
      <c r="V147" s="41">
        <v>1</v>
      </c>
      <c r="W147" s="37">
        <v>2</v>
      </c>
      <c r="X147" s="37">
        <v>5</v>
      </c>
      <c r="Y147" s="42">
        <v>5</v>
      </c>
      <c r="Z147" s="41">
        <v>3</v>
      </c>
      <c r="AA147" s="37">
        <v>6</v>
      </c>
      <c r="AB147" s="37">
        <v>13</v>
      </c>
      <c r="AC147" s="42">
        <v>14</v>
      </c>
      <c r="AD147" s="20"/>
    </row>
    <row r="148" spans="2:30" x14ac:dyDescent="0.3">
      <c r="B148" s="201"/>
      <c r="C148" s="248"/>
      <c r="D148" s="43" t="s">
        <v>161</v>
      </c>
      <c r="E148" s="44">
        <v>4</v>
      </c>
      <c r="F148" s="45">
        <v>10</v>
      </c>
      <c r="G148" s="46">
        <v>15</v>
      </c>
      <c r="H148" s="47">
        <v>3795</v>
      </c>
      <c r="I148" s="48">
        <v>167</v>
      </c>
      <c r="J148" s="49">
        <v>1.7248361405666462E-3</v>
      </c>
      <c r="K148" s="50">
        <v>170</v>
      </c>
      <c r="L148" s="51">
        <v>8</v>
      </c>
      <c r="M148" s="49">
        <v>5.7921635434412269E-2</v>
      </c>
      <c r="O148" s="52">
        <v>413.11313039527488</v>
      </c>
      <c r="P148" s="50">
        <v>243.11313039527488</v>
      </c>
      <c r="Q148" s="48">
        <v>103.27828259881872</v>
      </c>
      <c r="R148" s="48">
        <v>41.311313039527491</v>
      </c>
      <c r="S148" s="48">
        <v>27.540875359684993</v>
      </c>
      <c r="T148" s="53">
        <v>13.770437679842496</v>
      </c>
      <c r="V148" s="52">
        <v>1</v>
      </c>
      <c r="W148" s="48">
        <v>2</v>
      </c>
      <c r="X148" s="48">
        <v>4</v>
      </c>
      <c r="Y148" s="53">
        <v>4</v>
      </c>
      <c r="Z148" s="52">
        <v>2</v>
      </c>
      <c r="AA148" s="48">
        <v>4</v>
      </c>
      <c r="AB148" s="48">
        <v>9</v>
      </c>
      <c r="AC148" s="53">
        <v>10</v>
      </c>
      <c r="AD148" s="20"/>
    </row>
    <row r="149" spans="2:30" x14ac:dyDescent="0.3">
      <c r="B149" s="201"/>
      <c r="C149" s="248"/>
      <c r="D149" s="32" t="s">
        <v>162</v>
      </c>
      <c r="E149" s="33">
        <v>8</v>
      </c>
      <c r="F149" s="34">
        <v>24</v>
      </c>
      <c r="G149" s="35">
        <v>30</v>
      </c>
      <c r="H149" s="36">
        <v>7861</v>
      </c>
      <c r="I149" s="37">
        <v>87</v>
      </c>
      <c r="J149" s="38">
        <v>3.5728423981539934E-3</v>
      </c>
      <c r="K149" s="39">
        <v>271</v>
      </c>
      <c r="L149" s="40">
        <v>10</v>
      </c>
      <c r="M149" s="38">
        <v>4.302270201619305E-2</v>
      </c>
      <c r="O149" s="41">
        <v>658.55093139482051</v>
      </c>
      <c r="P149" s="39">
        <v>387.55093139482051</v>
      </c>
      <c r="Q149" s="37">
        <v>82.318866424352564</v>
      </c>
      <c r="R149" s="37">
        <v>27.439622141450855</v>
      </c>
      <c r="S149" s="37">
        <v>21.951697713160684</v>
      </c>
      <c r="T149" s="42">
        <v>9.1465407138169521</v>
      </c>
      <c r="V149" s="41">
        <v>2</v>
      </c>
      <c r="W149" s="37">
        <v>4</v>
      </c>
      <c r="X149" s="37">
        <v>8</v>
      </c>
      <c r="Y149" s="42">
        <v>8</v>
      </c>
      <c r="Z149" s="41">
        <v>4</v>
      </c>
      <c r="AA149" s="37">
        <v>10</v>
      </c>
      <c r="AB149" s="37">
        <v>22</v>
      </c>
      <c r="AC149" s="42">
        <v>24</v>
      </c>
      <c r="AD149" s="20"/>
    </row>
    <row r="150" spans="2:30" x14ac:dyDescent="0.3">
      <c r="B150" s="201"/>
      <c r="C150" s="248"/>
      <c r="D150" s="43" t="s">
        <v>163</v>
      </c>
      <c r="E150" s="44">
        <v>3</v>
      </c>
      <c r="F150" s="45">
        <v>10</v>
      </c>
      <c r="G150" s="46">
        <v>16</v>
      </c>
      <c r="H150" s="47">
        <v>4011</v>
      </c>
      <c r="I150" s="48">
        <v>164</v>
      </c>
      <c r="J150" s="49">
        <v>1.8230086323617438E-3</v>
      </c>
      <c r="K150" s="50">
        <v>323</v>
      </c>
      <c r="L150" s="51">
        <v>3</v>
      </c>
      <c r="M150" s="49">
        <v>0.10244211861718998</v>
      </c>
      <c r="O150" s="52">
        <v>784.91494775102228</v>
      </c>
      <c r="P150" s="50">
        <v>461.91494775102228</v>
      </c>
      <c r="Q150" s="48">
        <v>261.63831591700745</v>
      </c>
      <c r="R150" s="48">
        <v>78.491494775102225</v>
      </c>
      <c r="S150" s="48">
        <v>49.057184234438893</v>
      </c>
      <c r="T150" s="53">
        <v>26.163831591700742</v>
      </c>
      <c r="V150" s="52">
        <v>1</v>
      </c>
      <c r="W150" s="48">
        <v>2</v>
      </c>
      <c r="X150" s="48">
        <v>3</v>
      </c>
      <c r="Y150" s="53">
        <v>3</v>
      </c>
      <c r="Z150" s="52">
        <v>2</v>
      </c>
      <c r="AA150" s="48">
        <v>4</v>
      </c>
      <c r="AB150" s="48">
        <v>9</v>
      </c>
      <c r="AC150" s="53">
        <v>10</v>
      </c>
      <c r="AD150" s="20"/>
    </row>
    <row r="151" spans="2:30" x14ac:dyDescent="0.3">
      <c r="B151" s="201"/>
      <c r="C151" s="248"/>
      <c r="D151" s="32" t="s">
        <v>164</v>
      </c>
      <c r="E151" s="33">
        <v>7</v>
      </c>
      <c r="F151" s="34">
        <v>14</v>
      </c>
      <c r="G151" s="35">
        <v>18</v>
      </c>
      <c r="H151" s="36">
        <v>4879</v>
      </c>
      <c r="I151" s="37">
        <v>148</v>
      </c>
      <c r="J151" s="38">
        <v>2.2175166086494508E-3</v>
      </c>
      <c r="K151" s="39">
        <v>400</v>
      </c>
      <c r="L151" s="40">
        <v>3</v>
      </c>
      <c r="M151" s="38">
        <v>0.11235955056179775</v>
      </c>
      <c r="O151" s="41">
        <v>972.0308950477056</v>
      </c>
      <c r="P151" s="39">
        <v>572.0308950477056</v>
      </c>
      <c r="Q151" s="37">
        <v>138.86155643538652</v>
      </c>
      <c r="R151" s="37">
        <v>69.430778217693259</v>
      </c>
      <c r="S151" s="37">
        <v>54.001716391539198</v>
      </c>
      <c r="T151" s="42">
        <v>23.143592739231085</v>
      </c>
      <c r="V151" s="41">
        <v>2</v>
      </c>
      <c r="W151" s="37">
        <v>3</v>
      </c>
      <c r="X151" s="37">
        <v>7</v>
      </c>
      <c r="Y151" s="42">
        <v>7</v>
      </c>
      <c r="Z151" s="41">
        <v>3</v>
      </c>
      <c r="AA151" s="37">
        <v>6</v>
      </c>
      <c r="AB151" s="37">
        <v>13</v>
      </c>
      <c r="AC151" s="42">
        <v>14</v>
      </c>
      <c r="AD151" s="20"/>
    </row>
    <row r="152" spans="2:30" x14ac:dyDescent="0.3">
      <c r="B152" s="201"/>
      <c r="C152" s="248"/>
      <c r="D152" s="43" t="s">
        <v>165</v>
      </c>
      <c r="E152" s="44">
        <v>6</v>
      </c>
      <c r="F152" s="45">
        <v>15</v>
      </c>
      <c r="G152" s="46">
        <v>17</v>
      </c>
      <c r="H152" s="47">
        <v>4435</v>
      </c>
      <c r="I152" s="48">
        <v>157</v>
      </c>
      <c r="J152" s="49">
        <v>2.015717597737306E-3</v>
      </c>
      <c r="K152" s="50">
        <v>156</v>
      </c>
      <c r="L152" s="51">
        <v>7</v>
      </c>
      <c r="M152" s="49">
        <v>4.5454545454545456E-2</v>
      </c>
      <c r="O152" s="52">
        <v>379.09204906860521</v>
      </c>
      <c r="P152" s="50">
        <v>223.09204906860521</v>
      </c>
      <c r="Q152" s="48">
        <v>63.182008178100865</v>
      </c>
      <c r="R152" s="48">
        <v>25.272803271240345</v>
      </c>
      <c r="S152" s="48">
        <v>22.299532298153249</v>
      </c>
      <c r="T152" s="53">
        <v>8.4242677570801145</v>
      </c>
      <c r="V152" s="52">
        <v>1</v>
      </c>
      <c r="W152" s="48">
        <v>3</v>
      </c>
      <c r="X152" s="48">
        <v>6</v>
      </c>
      <c r="Y152" s="53">
        <v>6</v>
      </c>
      <c r="Z152" s="52">
        <v>3</v>
      </c>
      <c r="AA152" s="48">
        <v>6</v>
      </c>
      <c r="AB152" s="48">
        <v>14</v>
      </c>
      <c r="AC152" s="53">
        <v>15</v>
      </c>
      <c r="AD152" s="20"/>
    </row>
    <row r="153" spans="2:30" x14ac:dyDescent="0.3">
      <c r="B153" s="201"/>
      <c r="C153" s="248"/>
      <c r="D153" s="32" t="s">
        <v>166</v>
      </c>
      <c r="E153" s="33">
        <v>3</v>
      </c>
      <c r="F153" s="34">
        <v>13</v>
      </c>
      <c r="G153" s="35">
        <v>19</v>
      </c>
      <c r="H153" s="36">
        <v>4847</v>
      </c>
      <c r="I153" s="37">
        <v>150</v>
      </c>
      <c r="J153" s="38">
        <v>2.2029725357909182E-3</v>
      </c>
      <c r="K153" s="39">
        <v>341</v>
      </c>
      <c r="L153" s="40">
        <v>5</v>
      </c>
      <c r="M153" s="38">
        <v>9.159280150416331E-2</v>
      </c>
      <c r="O153" s="41">
        <v>828.65633802816899</v>
      </c>
      <c r="P153" s="39">
        <v>487.65633802816899</v>
      </c>
      <c r="Q153" s="37">
        <v>276.218779342723</v>
      </c>
      <c r="R153" s="37">
        <v>63.742795232936075</v>
      </c>
      <c r="S153" s="37">
        <v>43.613491475166789</v>
      </c>
      <c r="T153" s="42">
        <v>21.247598410978693</v>
      </c>
      <c r="V153" s="41">
        <v>1</v>
      </c>
      <c r="W153" s="37">
        <v>2</v>
      </c>
      <c r="X153" s="37">
        <v>3</v>
      </c>
      <c r="Y153" s="42">
        <v>3</v>
      </c>
      <c r="Z153" s="41">
        <v>2</v>
      </c>
      <c r="AA153" s="37">
        <v>6</v>
      </c>
      <c r="AB153" s="37">
        <v>12</v>
      </c>
      <c r="AC153" s="42">
        <v>13</v>
      </c>
      <c r="AD153" s="20"/>
    </row>
    <row r="154" spans="2:30" x14ac:dyDescent="0.3">
      <c r="B154" s="201"/>
      <c r="C154" s="251"/>
      <c r="D154" s="75" t="s">
        <v>27</v>
      </c>
      <c r="E154" s="76">
        <v>45</v>
      </c>
      <c r="F154" s="77">
        <v>118</v>
      </c>
      <c r="G154" s="78">
        <v>162</v>
      </c>
      <c r="H154" s="79">
        <v>41882</v>
      </c>
      <c r="I154" s="80">
        <v>18</v>
      </c>
      <c r="J154" s="81">
        <v>1.9035464358158703E-2</v>
      </c>
      <c r="K154" s="82">
        <f>SUM(K146:K153)</f>
        <v>2582</v>
      </c>
      <c r="L154" s="83">
        <v>8</v>
      </c>
      <c r="M154" s="84">
        <v>7.8413508260447032E-2</v>
      </c>
      <c r="N154" s="65"/>
      <c r="O154" s="85">
        <v>6274.4594275329382</v>
      </c>
      <c r="P154" s="82">
        <v>3692.4594275329396</v>
      </c>
      <c r="Q154" s="70">
        <v>139.43243172295419</v>
      </c>
      <c r="R154" s="70">
        <v>53.173384979092695</v>
      </c>
      <c r="S154" s="70">
        <v>38.731231034153943</v>
      </c>
      <c r="T154" s="71">
        <v>17.724461659697564</v>
      </c>
      <c r="U154" s="65"/>
      <c r="V154" s="69">
        <v>11</v>
      </c>
      <c r="W154" s="70">
        <v>22</v>
      </c>
      <c r="X154" s="70">
        <v>45</v>
      </c>
      <c r="Y154" s="71">
        <v>45</v>
      </c>
      <c r="Z154" s="69">
        <v>22</v>
      </c>
      <c r="AA154" s="70">
        <v>50</v>
      </c>
      <c r="AB154" s="70">
        <v>109</v>
      </c>
      <c r="AC154" s="71">
        <v>118</v>
      </c>
      <c r="AD154" s="20"/>
    </row>
    <row r="155" spans="2:30" s="65" customFormat="1" x14ac:dyDescent="0.3">
      <c r="B155" s="201"/>
      <c r="C155" s="247" t="s">
        <v>167</v>
      </c>
      <c r="D155" s="87" t="s">
        <v>168</v>
      </c>
      <c r="E155" s="88">
        <v>8</v>
      </c>
      <c r="F155" s="89">
        <v>34</v>
      </c>
      <c r="G155" s="90">
        <v>34</v>
      </c>
      <c r="H155" s="91">
        <v>8754</v>
      </c>
      <c r="I155" s="73">
        <v>79</v>
      </c>
      <c r="J155" s="92">
        <v>3.9787129313624296E-3</v>
      </c>
      <c r="K155" s="93">
        <v>869</v>
      </c>
      <c r="L155" s="94">
        <v>3</v>
      </c>
      <c r="M155" s="92">
        <v>0.12308781869688386</v>
      </c>
      <c r="N155"/>
      <c r="O155" s="72">
        <v>2111.7371194911402</v>
      </c>
      <c r="P155" s="93">
        <v>1242.7371194911402</v>
      </c>
      <c r="Q155" s="73">
        <v>263.96713993639253</v>
      </c>
      <c r="R155" s="73">
        <v>62.109915279151181</v>
      </c>
      <c r="S155" s="73">
        <v>62.109915279151181</v>
      </c>
      <c r="T155" s="74">
        <v>20.703305093050393</v>
      </c>
      <c r="U155"/>
      <c r="V155" s="72">
        <v>2</v>
      </c>
      <c r="W155" s="73">
        <v>4</v>
      </c>
      <c r="X155" s="73">
        <v>8</v>
      </c>
      <c r="Y155" s="74">
        <v>8</v>
      </c>
      <c r="Z155" s="72">
        <v>6</v>
      </c>
      <c r="AA155" s="73">
        <v>14</v>
      </c>
      <c r="AB155" s="73">
        <v>31</v>
      </c>
      <c r="AC155" s="74">
        <v>34</v>
      </c>
      <c r="AD155" s="54"/>
    </row>
    <row r="156" spans="2:30" s="65" customFormat="1" x14ac:dyDescent="0.3">
      <c r="B156" s="201"/>
      <c r="C156" s="248"/>
      <c r="D156" s="32" t="s">
        <v>169</v>
      </c>
      <c r="E156" s="33">
        <v>4</v>
      </c>
      <c r="F156" s="34">
        <v>12</v>
      </c>
      <c r="G156" s="35">
        <v>19</v>
      </c>
      <c r="H156" s="36">
        <v>4990</v>
      </c>
      <c r="I156" s="37">
        <v>146</v>
      </c>
      <c r="J156" s="38">
        <v>2.2679663613774871E-3</v>
      </c>
      <c r="K156" s="39">
        <v>488</v>
      </c>
      <c r="L156" s="40">
        <v>3</v>
      </c>
      <c r="M156" s="38">
        <v>0.12301487269977313</v>
      </c>
      <c r="N156"/>
      <c r="O156" s="41">
        <v>1185.8776919582008</v>
      </c>
      <c r="P156" s="39">
        <v>697.87769195820078</v>
      </c>
      <c r="Q156" s="37">
        <v>296.4694229895502</v>
      </c>
      <c r="R156" s="37">
        <v>98.823140996516727</v>
      </c>
      <c r="S156" s="37">
        <v>62.414615366221092</v>
      </c>
      <c r="T156" s="42">
        <v>32.941046998838907</v>
      </c>
      <c r="U156"/>
      <c r="V156" s="41">
        <v>1</v>
      </c>
      <c r="W156" s="37">
        <v>2</v>
      </c>
      <c r="X156" s="37">
        <v>4</v>
      </c>
      <c r="Y156" s="42">
        <v>4</v>
      </c>
      <c r="Z156" s="41">
        <v>2</v>
      </c>
      <c r="AA156" s="37">
        <v>5</v>
      </c>
      <c r="AB156" s="37">
        <v>11</v>
      </c>
      <c r="AC156" s="42">
        <v>12</v>
      </c>
      <c r="AD156" s="54"/>
    </row>
    <row r="157" spans="2:30" x14ac:dyDescent="0.3">
      <c r="B157" s="201"/>
      <c r="C157" s="248"/>
      <c r="D157" s="43" t="s">
        <v>170</v>
      </c>
      <c r="E157" s="44">
        <v>9</v>
      </c>
      <c r="F157" s="45">
        <v>27</v>
      </c>
      <c r="G157" s="46">
        <v>31</v>
      </c>
      <c r="H157" s="47">
        <v>7597</v>
      </c>
      <c r="I157" s="48">
        <v>90</v>
      </c>
      <c r="J157" s="49">
        <v>3.4528537970710963E-3</v>
      </c>
      <c r="K157" s="50">
        <v>255</v>
      </c>
      <c r="L157" s="51">
        <v>7</v>
      </c>
      <c r="M157" s="49">
        <v>4.1382667964946447E-2</v>
      </c>
      <c r="O157" s="52">
        <v>619.66969559291238</v>
      </c>
      <c r="P157" s="50">
        <v>364.66969559291238</v>
      </c>
      <c r="Q157" s="48">
        <v>68.85218839921248</v>
      </c>
      <c r="R157" s="48">
        <v>22.950729466404162</v>
      </c>
      <c r="S157" s="48">
        <v>19.989345019126205</v>
      </c>
      <c r="T157" s="53">
        <v>7.6502431554680541</v>
      </c>
      <c r="V157" s="52">
        <v>2</v>
      </c>
      <c r="W157" s="48">
        <v>4</v>
      </c>
      <c r="X157" s="48">
        <v>9</v>
      </c>
      <c r="Y157" s="53">
        <v>9</v>
      </c>
      <c r="Z157" s="52">
        <v>5</v>
      </c>
      <c r="AA157" s="48">
        <v>11</v>
      </c>
      <c r="AB157" s="48">
        <v>25</v>
      </c>
      <c r="AC157" s="53">
        <v>27</v>
      </c>
      <c r="AD157" s="20"/>
    </row>
    <row r="158" spans="2:30" x14ac:dyDescent="0.3">
      <c r="B158" s="201"/>
      <c r="C158" s="248"/>
      <c r="D158" s="32" t="s">
        <v>171</v>
      </c>
      <c r="E158" s="33">
        <v>7</v>
      </c>
      <c r="F158" s="34">
        <v>24</v>
      </c>
      <c r="G158" s="35">
        <v>35</v>
      </c>
      <c r="H158" s="36">
        <v>9184</v>
      </c>
      <c r="I158" s="37">
        <v>74</v>
      </c>
      <c r="J158" s="38">
        <v>4.1741489103989671E-3</v>
      </c>
      <c r="K158" s="39">
        <v>623</v>
      </c>
      <c r="L158" s="40">
        <v>4</v>
      </c>
      <c r="M158" s="38">
        <v>8.9101830663615558E-2</v>
      </c>
      <c r="O158" s="41">
        <v>1513.9381190368015</v>
      </c>
      <c r="P158" s="39">
        <v>890.93811903680148</v>
      </c>
      <c r="Q158" s="37">
        <v>216.2768741481145</v>
      </c>
      <c r="R158" s="37">
        <v>63.080754959866731</v>
      </c>
      <c r="S158" s="37">
        <v>43.255374829622902</v>
      </c>
      <c r="T158" s="42">
        <v>21.026918319955577</v>
      </c>
      <c r="V158" s="41">
        <v>2</v>
      </c>
      <c r="W158" s="37">
        <v>3</v>
      </c>
      <c r="X158" s="37">
        <v>7</v>
      </c>
      <c r="Y158" s="42">
        <v>7</v>
      </c>
      <c r="Z158" s="41">
        <v>4</v>
      </c>
      <c r="AA158" s="37">
        <v>10</v>
      </c>
      <c r="AB158" s="37">
        <v>22</v>
      </c>
      <c r="AC158" s="42">
        <v>24</v>
      </c>
      <c r="AD158" s="20"/>
    </row>
    <row r="159" spans="2:30" x14ac:dyDescent="0.3">
      <c r="B159" s="201"/>
      <c r="C159" s="248"/>
      <c r="D159" s="43" t="s">
        <v>172</v>
      </c>
      <c r="E159" s="44">
        <v>7</v>
      </c>
      <c r="F159" s="45">
        <v>22</v>
      </c>
      <c r="G159" s="46">
        <v>29</v>
      </c>
      <c r="H159" s="47">
        <v>7212</v>
      </c>
      <c r="I159" s="48">
        <v>99</v>
      </c>
      <c r="J159" s="49">
        <v>3.2778704204918714E-3</v>
      </c>
      <c r="K159" s="50">
        <v>178</v>
      </c>
      <c r="L159" s="51">
        <v>6</v>
      </c>
      <c r="M159" s="49">
        <v>3.0103162523253846E-2</v>
      </c>
      <c r="O159" s="52">
        <v>432.553748296229</v>
      </c>
      <c r="P159" s="50">
        <v>254.553748296229</v>
      </c>
      <c r="Q159" s="48">
        <v>61.793392613747002</v>
      </c>
      <c r="R159" s="48">
        <v>19.661534013464955</v>
      </c>
      <c r="S159" s="48">
        <v>14.915646492973414</v>
      </c>
      <c r="T159" s="53">
        <v>6.5538446711549847</v>
      </c>
      <c r="V159" s="52">
        <v>2</v>
      </c>
      <c r="W159" s="48">
        <v>3</v>
      </c>
      <c r="X159" s="48">
        <v>7</v>
      </c>
      <c r="Y159" s="53">
        <v>7</v>
      </c>
      <c r="Z159" s="52">
        <v>4</v>
      </c>
      <c r="AA159" s="48">
        <v>9</v>
      </c>
      <c r="AB159" s="48">
        <v>20</v>
      </c>
      <c r="AC159" s="53">
        <v>22</v>
      </c>
      <c r="AD159" s="20"/>
    </row>
    <row r="160" spans="2:30" x14ac:dyDescent="0.3">
      <c r="B160" s="201"/>
      <c r="C160" s="248"/>
      <c r="D160" s="32" t="s">
        <v>173</v>
      </c>
      <c r="E160" s="33">
        <v>16</v>
      </c>
      <c r="F160" s="34">
        <v>64</v>
      </c>
      <c r="G160" s="35">
        <v>43</v>
      </c>
      <c r="H160" s="36">
        <v>10196</v>
      </c>
      <c r="I160" s="37">
        <v>65</v>
      </c>
      <c r="J160" s="38">
        <v>4.6341052145500725E-3</v>
      </c>
      <c r="K160" s="39">
        <v>758</v>
      </c>
      <c r="L160" s="40">
        <v>3</v>
      </c>
      <c r="M160" s="38">
        <v>9.5828065739570159E-2</v>
      </c>
      <c r="O160" s="41">
        <v>1841.9985461154022</v>
      </c>
      <c r="P160" s="39">
        <v>1083.9985461154022</v>
      </c>
      <c r="Q160" s="37">
        <v>115.12490913221264</v>
      </c>
      <c r="R160" s="37">
        <v>28.781227283053159</v>
      </c>
      <c r="S160" s="37">
        <v>42.837175491055866</v>
      </c>
      <c r="T160" s="42">
        <v>9.5937424276843863</v>
      </c>
      <c r="V160" s="41">
        <v>3</v>
      </c>
      <c r="W160" s="37">
        <v>7</v>
      </c>
      <c r="X160" s="37">
        <v>15</v>
      </c>
      <c r="Y160" s="42">
        <v>16</v>
      </c>
      <c r="Z160" s="41">
        <v>10</v>
      </c>
      <c r="AA160" s="37">
        <v>26</v>
      </c>
      <c r="AB160" s="37">
        <v>58</v>
      </c>
      <c r="AC160" s="42">
        <v>64</v>
      </c>
      <c r="AD160" s="20"/>
    </row>
    <row r="161" spans="2:30" x14ac:dyDescent="0.3">
      <c r="B161" s="201"/>
      <c r="C161" s="248"/>
      <c r="D161" s="43" t="s">
        <v>174</v>
      </c>
      <c r="E161" s="44">
        <v>7</v>
      </c>
      <c r="F161" s="45">
        <v>20</v>
      </c>
      <c r="G161" s="46">
        <v>25</v>
      </c>
      <c r="H161" s="47">
        <v>6273</v>
      </c>
      <c r="I161" s="48">
        <v>118</v>
      </c>
      <c r="J161" s="49">
        <v>2.851092782549294E-3</v>
      </c>
      <c r="K161" s="50">
        <v>489</v>
      </c>
      <c r="L161" s="51">
        <v>3</v>
      </c>
      <c r="M161" s="49">
        <v>9.4365109996140492E-2</v>
      </c>
      <c r="O161" s="52">
        <v>1188.3077691958201</v>
      </c>
      <c r="P161" s="50">
        <v>699.30776919582013</v>
      </c>
      <c r="Q161" s="48">
        <v>169.75825274226003</v>
      </c>
      <c r="R161" s="48">
        <v>59.415388459791004</v>
      </c>
      <c r="S161" s="48">
        <v>47.532310767832804</v>
      </c>
      <c r="T161" s="53">
        <v>19.805129486597</v>
      </c>
      <c r="V161" s="52">
        <v>2</v>
      </c>
      <c r="W161" s="48">
        <v>3</v>
      </c>
      <c r="X161" s="48">
        <v>7</v>
      </c>
      <c r="Y161" s="53">
        <v>7</v>
      </c>
      <c r="Z161" s="52">
        <v>3</v>
      </c>
      <c r="AA161" s="48">
        <v>8</v>
      </c>
      <c r="AB161" s="48">
        <v>18</v>
      </c>
      <c r="AC161" s="53">
        <v>20</v>
      </c>
      <c r="AD161" s="20"/>
    </row>
    <row r="162" spans="2:30" x14ac:dyDescent="0.3">
      <c r="B162" s="201"/>
      <c r="C162" s="248"/>
      <c r="D162" s="32" t="s">
        <v>175</v>
      </c>
      <c r="E162" s="33">
        <v>9</v>
      </c>
      <c r="F162" s="34">
        <v>80</v>
      </c>
      <c r="G162" s="35">
        <v>131</v>
      </c>
      <c r="H162" s="36">
        <v>34620</v>
      </c>
      <c r="I162" s="37">
        <v>11</v>
      </c>
      <c r="J162" s="38">
        <v>1.5734868823825372E-2</v>
      </c>
      <c r="K162" s="39">
        <v>4625</v>
      </c>
      <c r="L162" s="40">
        <v>2</v>
      </c>
      <c r="M162" s="38">
        <v>0.17896529040746043</v>
      </c>
      <c r="O162" s="41">
        <v>11239.107223989096</v>
      </c>
      <c r="P162" s="39">
        <v>6614.1072239890964</v>
      </c>
      <c r="Q162" s="37">
        <v>1248.789691554344</v>
      </c>
      <c r="R162" s="37">
        <v>140.48884029986371</v>
      </c>
      <c r="S162" s="37">
        <v>85.794711633504548</v>
      </c>
      <c r="T162" s="42">
        <v>46.829613433287903</v>
      </c>
      <c r="V162" s="41">
        <v>2</v>
      </c>
      <c r="W162" s="37">
        <v>4</v>
      </c>
      <c r="X162" s="37">
        <v>9</v>
      </c>
      <c r="Y162" s="42">
        <v>9</v>
      </c>
      <c r="Z162" s="41">
        <v>12</v>
      </c>
      <c r="AA162" s="37">
        <v>32</v>
      </c>
      <c r="AB162" s="37">
        <v>72</v>
      </c>
      <c r="AC162" s="42">
        <v>80</v>
      </c>
      <c r="AD162" s="20"/>
    </row>
    <row r="163" spans="2:30" x14ac:dyDescent="0.3">
      <c r="B163" s="201"/>
      <c r="C163" s="249"/>
      <c r="D163" s="55" t="s">
        <v>27</v>
      </c>
      <c r="E163" s="56">
        <v>67</v>
      </c>
      <c r="F163" s="57">
        <v>283</v>
      </c>
      <c r="G163" s="58">
        <v>347</v>
      </c>
      <c r="H163" s="59">
        <v>88826</v>
      </c>
      <c r="I163" s="60">
        <v>10</v>
      </c>
      <c r="J163" s="61">
        <v>4.0371619241626591E-2</v>
      </c>
      <c r="K163" s="62">
        <f>SUM(K155:K162)</f>
        <v>8285</v>
      </c>
      <c r="L163" s="63">
        <v>3</v>
      </c>
      <c r="M163" s="64">
        <v>0.12002201973083776</v>
      </c>
      <c r="N163" s="65"/>
      <c r="O163" s="66">
        <v>20133.189913675604</v>
      </c>
      <c r="P163" s="62">
        <v>11848.189913675602</v>
      </c>
      <c r="Q163" s="67">
        <v>300.49537184590451</v>
      </c>
      <c r="R163" s="67">
        <v>71.142013829242416</v>
      </c>
      <c r="S163" s="67">
        <v>58.020720212321628</v>
      </c>
      <c r="T163" s="68">
        <v>23.714004609747473</v>
      </c>
      <c r="U163" s="65"/>
      <c r="V163" s="86">
        <v>16</v>
      </c>
      <c r="W163" s="67">
        <v>30</v>
      </c>
      <c r="X163" s="67">
        <v>66</v>
      </c>
      <c r="Y163" s="68">
        <v>67</v>
      </c>
      <c r="Z163" s="86">
        <v>46</v>
      </c>
      <c r="AA163" s="67">
        <v>115</v>
      </c>
      <c r="AB163" s="67">
        <v>257</v>
      </c>
      <c r="AC163" s="68">
        <v>283</v>
      </c>
      <c r="AD163" s="20"/>
    </row>
    <row r="164" spans="2:30" x14ac:dyDescent="0.3">
      <c r="B164" s="201"/>
      <c r="C164" s="250" t="s">
        <v>176</v>
      </c>
      <c r="D164" s="21" t="s">
        <v>177</v>
      </c>
      <c r="E164" s="22">
        <v>8</v>
      </c>
      <c r="F164" s="23">
        <v>18</v>
      </c>
      <c r="G164" s="24">
        <v>24</v>
      </c>
      <c r="H164" s="25">
        <v>6280</v>
      </c>
      <c r="I164" s="26">
        <v>116</v>
      </c>
      <c r="J164" s="27">
        <v>2.8542742984870983E-3</v>
      </c>
      <c r="K164" s="28">
        <v>274</v>
      </c>
      <c r="L164" s="29">
        <v>7</v>
      </c>
      <c r="M164" s="27">
        <v>5.821117484597408E-2</v>
      </c>
      <c r="O164" s="30">
        <v>665.84116310767831</v>
      </c>
      <c r="P164" s="28">
        <v>391.84116310767831</v>
      </c>
      <c r="Q164" s="26">
        <v>83.230145388459789</v>
      </c>
      <c r="R164" s="26">
        <v>36.991175728204354</v>
      </c>
      <c r="S164" s="26">
        <v>27.743381796153262</v>
      </c>
      <c r="T164" s="31">
        <v>12.330391909401451</v>
      </c>
      <c r="V164" s="30">
        <v>2</v>
      </c>
      <c r="W164" s="26">
        <v>4</v>
      </c>
      <c r="X164" s="26">
        <v>8</v>
      </c>
      <c r="Y164" s="31">
        <v>8</v>
      </c>
      <c r="Z164" s="30">
        <v>3</v>
      </c>
      <c r="AA164" s="26">
        <v>8</v>
      </c>
      <c r="AB164" s="26">
        <v>17</v>
      </c>
      <c r="AC164" s="31">
        <v>18</v>
      </c>
      <c r="AD164" s="20"/>
    </row>
    <row r="165" spans="2:30" s="65" customFormat="1" x14ac:dyDescent="0.3">
      <c r="B165" s="201"/>
      <c r="C165" s="248"/>
      <c r="D165" s="32" t="s">
        <v>178</v>
      </c>
      <c r="E165" s="33">
        <v>6</v>
      </c>
      <c r="F165" s="34">
        <v>13</v>
      </c>
      <c r="G165" s="35">
        <v>14</v>
      </c>
      <c r="H165" s="36">
        <v>3660</v>
      </c>
      <c r="I165" s="37">
        <v>171</v>
      </c>
      <c r="J165" s="38">
        <v>1.6634783331947102E-3</v>
      </c>
      <c r="K165" s="39">
        <v>157</v>
      </c>
      <c r="L165" s="40">
        <v>8</v>
      </c>
      <c r="M165" s="38">
        <v>5.4914305701294158E-2</v>
      </c>
      <c r="N165"/>
      <c r="O165" s="41">
        <v>381.52212630622444</v>
      </c>
      <c r="P165" s="39">
        <v>224.52212630622444</v>
      </c>
      <c r="Q165" s="37">
        <v>63.587021051037404</v>
      </c>
      <c r="R165" s="37">
        <v>29.347855869709573</v>
      </c>
      <c r="S165" s="37">
        <v>27.251580450444603</v>
      </c>
      <c r="T165" s="42">
        <v>9.7826186232365249</v>
      </c>
      <c r="U165"/>
      <c r="V165" s="41">
        <v>1</v>
      </c>
      <c r="W165" s="37">
        <v>3</v>
      </c>
      <c r="X165" s="37">
        <v>6</v>
      </c>
      <c r="Y165" s="42">
        <v>6</v>
      </c>
      <c r="Z165" s="41">
        <v>2</v>
      </c>
      <c r="AA165" s="37">
        <v>6</v>
      </c>
      <c r="AB165" s="37">
        <v>12</v>
      </c>
      <c r="AC165" s="42">
        <v>13</v>
      </c>
      <c r="AD165" s="54"/>
    </row>
    <row r="166" spans="2:30" x14ac:dyDescent="0.3">
      <c r="B166" s="201"/>
      <c r="C166" s="248"/>
      <c r="D166" s="43" t="s">
        <v>179</v>
      </c>
      <c r="E166" s="44">
        <v>7</v>
      </c>
      <c r="F166" s="45">
        <v>17</v>
      </c>
      <c r="G166" s="46">
        <v>25</v>
      </c>
      <c r="H166" s="47">
        <v>6515</v>
      </c>
      <c r="I166" s="48">
        <v>112</v>
      </c>
      <c r="J166" s="49">
        <v>2.96108233354195E-3</v>
      </c>
      <c r="K166" s="50">
        <v>377</v>
      </c>
      <c r="L166" s="51">
        <v>7</v>
      </c>
      <c r="M166" s="49">
        <v>7.2948916408668726E-2</v>
      </c>
      <c r="O166" s="52">
        <v>916.13911858246252</v>
      </c>
      <c r="P166" s="50">
        <v>539.13911858246252</v>
      </c>
      <c r="Q166" s="48">
        <v>130.87701694035178</v>
      </c>
      <c r="R166" s="48">
        <v>53.890536387203674</v>
      </c>
      <c r="S166" s="48">
        <v>36.6455647432985</v>
      </c>
      <c r="T166" s="53">
        <v>17.96351212906789</v>
      </c>
      <c r="V166" s="52">
        <v>2</v>
      </c>
      <c r="W166" s="48">
        <v>3</v>
      </c>
      <c r="X166" s="48">
        <v>7</v>
      </c>
      <c r="Y166" s="53">
        <v>7</v>
      </c>
      <c r="Z166" s="52">
        <v>3</v>
      </c>
      <c r="AA166" s="48">
        <v>7</v>
      </c>
      <c r="AB166" s="48">
        <v>16</v>
      </c>
      <c r="AC166" s="53">
        <v>17</v>
      </c>
      <c r="AD166" s="20"/>
    </row>
    <row r="167" spans="2:30" x14ac:dyDescent="0.3">
      <c r="B167" s="201"/>
      <c r="C167" s="248"/>
      <c r="D167" s="32" t="s">
        <v>180</v>
      </c>
      <c r="E167" s="33">
        <v>6</v>
      </c>
      <c r="F167" s="34">
        <v>14</v>
      </c>
      <c r="G167" s="35">
        <v>27</v>
      </c>
      <c r="H167" s="36">
        <v>7161</v>
      </c>
      <c r="I167" s="37">
        <v>101</v>
      </c>
      <c r="J167" s="38">
        <v>3.2546908043735844E-3</v>
      </c>
      <c r="K167" s="39">
        <v>366</v>
      </c>
      <c r="L167" s="40">
        <v>7</v>
      </c>
      <c r="M167" s="38">
        <v>6.5650224215246633E-2</v>
      </c>
      <c r="O167" s="41">
        <v>889.40826896865065</v>
      </c>
      <c r="P167" s="39">
        <v>523.40826896865065</v>
      </c>
      <c r="Q167" s="37">
        <v>148.2347114947751</v>
      </c>
      <c r="R167" s="37">
        <v>63.529162069189333</v>
      </c>
      <c r="S167" s="37">
        <v>32.941046998838914</v>
      </c>
      <c r="T167" s="42">
        <v>21.176387356396443</v>
      </c>
      <c r="V167" s="41">
        <v>1</v>
      </c>
      <c r="W167" s="37">
        <v>3</v>
      </c>
      <c r="X167" s="37">
        <v>6</v>
      </c>
      <c r="Y167" s="42">
        <v>6</v>
      </c>
      <c r="Z167" s="41">
        <v>3</v>
      </c>
      <c r="AA167" s="37">
        <v>6</v>
      </c>
      <c r="AB167" s="37">
        <v>13</v>
      </c>
      <c r="AC167" s="42">
        <v>14</v>
      </c>
      <c r="AD167" s="20"/>
    </row>
    <row r="168" spans="2:30" x14ac:dyDescent="0.3">
      <c r="B168" s="201"/>
      <c r="C168" s="248"/>
      <c r="D168" s="43" t="s">
        <v>181</v>
      </c>
      <c r="E168" s="44">
        <v>9</v>
      </c>
      <c r="F168" s="45">
        <v>36</v>
      </c>
      <c r="G168" s="46">
        <v>40</v>
      </c>
      <c r="H168" s="47">
        <v>10726</v>
      </c>
      <c r="I168" s="48">
        <v>61</v>
      </c>
      <c r="J168" s="49">
        <v>4.8749914212695249E-3</v>
      </c>
      <c r="K168" s="50">
        <v>1292</v>
      </c>
      <c r="L168" s="51">
        <v>2</v>
      </c>
      <c r="M168" s="49">
        <v>0.16483796886960961</v>
      </c>
      <c r="O168" s="52">
        <v>3139.6597910040891</v>
      </c>
      <c r="P168" s="50">
        <v>1847.6597910040891</v>
      </c>
      <c r="Q168" s="48">
        <v>348.85108788934326</v>
      </c>
      <c r="R168" s="48">
        <v>87.212771972335815</v>
      </c>
      <c r="S168" s="48">
        <v>78.491494775102225</v>
      </c>
      <c r="T168" s="53">
        <v>29.070923990778606</v>
      </c>
      <c r="V168" s="52">
        <v>2</v>
      </c>
      <c r="W168" s="48">
        <v>4</v>
      </c>
      <c r="X168" s="48">
        <v>9</v>
      </c>
      <c r="Y168" s="53">
        <v>9</v>
      </c>
      <c r="Z168" s="52">
        <v>6</v>
      </c>
      <c r="AA168" s="48">
        <v>15</v>
      </c>
      <c r="AB168" s="48">
        <v>33</v>
      </c>
      <c r="AC168" s="53">
        <v>36</v>
      </c>
      <c r="AD168" s="20"/>
    </row>
    <row r="169" spans="2:30" x14ac:dyDescent="0.3">
      <c r="B169" s="201"/>
      <c r="C169" s="248"/>
      <c r="D169" s="32" t="s">
        <v>182</v>
      </c>
      <c r="E169" s="33">
        <v>10</v>
      </c>
      <c r="F169" s="34">
        <v>20</v>
      </c>
      <c r="G169" s="35">
        <v>22</v>
      </c>
      <c r="H169" s="36">
        <v>5793</v>
      </c>
      <c r="I169" s="37">
        <v>126</v>
      </c>
      <c r="J169" s="38">
        <v>2.6329316896712995E-3</v>
      </c>
      <c r="K169" s="39">
        <v>339</v>
      </c>
      <c r="L169" s="40">
        <v>7</v>
      </c>
      <c r="M169" s="38">
        <v>7.1368421052631581E-2</v>
      </c>
      <c r="O169" s="41">
        <v>823.79618355293053</v>
      </c>
      <c r="P169" s="39">
        <v>484.79618355293053</v>
      </c>
      <c r="Q169" s="37">
        <v>82.379618355293047</v>
      </c>
      <c r="R169" s="37">
        <v>41.189809177646524</v>
      </c>
      <c r="S169" s="37">
        <v>37.445281070587754</v>
      </c>
      <c r="T169" s="42">
        <v>13.729936392548842</v>
      </c>
      <c r="V169" s="41">
        <v>2</v>
      </c>
      <c r="W169" s="37">
        <v>4</v>
      </c>
      <c r="X169" s="37">
        <v>9</v>
      </c>
      <c r="Y169" s="42">
        <v>10</v>
      </c>
      <c r="Z169" s="41">
        <v>3</v>
      </c>
      <c r="AA169" s="37">
        <v>8</v>
      </c>
      <c r="AB169" s="37">
        <v>18</v>
      </c>
      <c r="AC169" s="42">
        <v>20</v>
      </c>
      <c r="AD169" s="20"/>
    </row>
    <row r="170" spans="2:30" x14ac:dyDescent="0.3">
      <c r="B170" s="201"/>
      <c r="C170" s="248"/>
      <c r="D170" s="43" t="s">
        <v>183</v>
      </c>
      <c r="E170" s="44">
        <v>9</v>
      </c>
      <c r="F170" s="45">
        <v>34</v>
      </c>
      <c r="G170" s="46">
        <v>43</v>
      </c>
      <c r="H170" s="47">
        <v>11646</v>
      </c>
      <c r="I170" s="48">
        <v>55</v>
      </c>
      <c r="J170" s="49">
        <v>5.2931335159523479E-3</v>
      </c>
      <c r="K170" s="50">
        <v>1823</v>
      </c>
      <c r="L170" s="51">
        <v>1</v>
      </c>
      <c r="M170" s="49">
        <v>0.20128077729932647</v>
      </c>
      <c r="O170" s="52">
        <v>4430.0308041799181</v>
      </c>
      <c r="P170" s="50">
        <v>2607.0308041799181</v>
      </c>
      <c r="Q170" s="48">
        <v>492.22564490887976</v>
      </c>
      <c r="R170" s="48">
        <v>130.29502365235052</v>
      </c>
      <c r="S170" s="48">
        <v>103.02397219023065</v>
      </c>
      <c r="T170" s="53">
        <v>43.431674550783505</v>
      </c>
      <c r="V170" s="52">
        <v>2</v>
      </c>
      <c r="W170" s="48">
        <v>4</v>
      </c>
      <c r="X170" s="48">
        <v>9</v>
      </c>
      <c r="Y170" s="53">
        <v>9</v>
      </c>
      <c r="Z170" s="52">
        <v>6</v>
      </c>
      <c r="AA170" s="48">
        <v>14</v>
      </c>
      <c r="AB170" s="48">
        <v>31</v>
      </c>
      <c r="AC170" s="53">
        <v>34</v>
      </c>
      <c r="AD170" s="20"/>
    </row>
    <row r="171" spans="2:30" x14ac:dyDescent="0.3">
      <c r="B171" s="201"/>
      <c r="C171" s="251"/>
      <c r="D171" s="75" t="s">
        <v>27</v>
      </c>
      <c r="E171" s="76">
        <v>55</v>
      </c>
      <c r="F171" s="77">
        <v>152</v>
      </c>
      <c r="G171" s="78">
        <v>195</v>
      </c>
      <c r="H171" s="79">
        <v>51781</v>
      </c>
      <c r="I171" s="80">
        <v>16</v>
      </c>
      <c r="J171" s="81">
        <v>2.3534582396490516E-2</v>
      </c>
      <c r="K171" s="82">
        <f>SUM(K164:K170)</f>
        <v>4628</v>
      </c>
      <c r="L171" s="83">
        <v>4</v>
      </c>
      <c r="M171" s="84">
        <v>0.11583320818941784</v>
      </c>
      <c r="N171" s="65"/>
      <c r="O171" s="85">
        <v>11246.397455701954</v>
      </c>
      <c r="P171" s="82">
        <v>6618.3974557019537</v>
      </c>
      <c r="Q171" s="70">
        <v>204.47995374003551</v>
      </c>
      <c r="R171" s="70">
        <v>73.989456945407596</v>
      </c>
      <c r="S171" s="70">
        <v>57.673833106163862</v>
      </c>
      <c r="T171" s="71">
        <v>24.663152315135864</v>
      </c>
      <c r="U171" s="65"/>
      <c r="V171" s="69">
        <v>12</v>
      </c>
      <c r="W171" s="70">
        <v>25</v>
      </c>
      <c r="X171" s="70">
        <v>54</v>
      </c>
      <c r="Y171" s="71">
        <v>55</v>
      </c>
      <c r="Z171" s="69">
        <v>26</v>
      </c>
      <c r="AA171" s="70">
        <v>64</v>
      </c>
      <c r="AB171" s="70">
        <v>140</v>
      </c>
      <c r="AC171" s="71">
        <v>152</v>
      </c>
      <c r="AD171" s="20"/>
    </row>
    <row r="172" spans="2:30" x14ac:dyDescent="0.3">
      <c r="B172" s="201"/>
      <c r="C172" s="247" t="s">
        <v>184</v>
      </c>
      <c r="D172" s="87" t="s">
        <v>185</v>
      </c>
      <c r="E172" s="88">
        <v>14</v>
      </c>
      <c r="F172" s="89">
        <v>48</v>
      </c>
      <c r="G172" s="90">
        <v>45</v>
      </c>
      <c r="H172" s="91">
        <v>11914</v>
      </c>
      <c r="I172" s="73">
        <v>53</v>
      </c>
      <c r="J172" s="92">
        <v>5.4149401261425617E-3</v>
      </c>
      <c r="K172" s="93">
        <v>645</v>
      </c>
      <c r="L172" s="94">
        <v>7</v>
      </c>
      <c r="M172" s="92">
        <v>7.1160635481023832E-2</v>
      </c>
      <c r="O172" s="72">
        <v>1567.3998182644252</v>
      </c>
      <c r="P172" s="93">
        <v>922.39981826442522</v>
      </c>
      <c r="Q172" s="73">
        <v>111.95712987603038</v>
      </c>
      <c r="R172" s="73">
        <v>32.654162880508856</v>
      </c>
      <c r="S172" s="73">
        <v>34.831107072542785</v>
      </c>
      <c r="T172" s="74">
        <v>10.884720960169618</v>
      </c>
      <c r="V172" s="72">
        <v>3</v>
      </c>
      <c r="W172" s="73">
        <v>6</v>
      </c>
      <c r="X172" s="73">
        <v>13</v>
      </c>
      <c r="Y172" s="74">
        <v>14</v>
      </c>
      <c r="Z172" s="72">
        <v>8</v>
      </c>
      <c r="AA172" s="73">
        <v>20</v>
      </c>
      <c r="AB172" s="73">
        <v>44</v>
      </c>
      <c r="AC172" s="74">
        <v>48</v>
      </c>
      <c r="AD172" s="20"/>
    </row>
    <row r="173" spans="2:30" x14ac:dyDescent="0.3">
      <c r="B173" s="201"/>
      <c r="C173" s="248"/>
      <c r="D173" s="32" t="s">
        <v>186</v>
      </c>
      <c r="E173" s="33">
        <v>7</v>
      </c>
      <c r="F173" s="34">
        <v>12</v>
      </c>
      <c r="G173" s="35">
        <v>17</v>
      </c>
      <c r="H173" s="36">
        <v>4242</v>
      </c>
      <c r="I173" s="37">
        <v>159</v>
      </c>
      <c r="J173" s="38">
        <v>1.9279986583092788E-3</v>
      </c>
      <c r="K173" s="39">
        <v>165</v>
      </c>
      <c r="L173" s="40">
        <v>7</v>
      </c>
      <c r="M173" s="38">
        <v>4.5081967213114756E-2</v>
      </c>
      <c r="O173" s="41">
        <v>400.96274420717856</v>
      </c>
      <c r="P173" s="39">
        <v>235.96274420717856</v>
      </c>
      <c r="Q173" s="37">
        <v>57.280392029596939</v>
      </c>
      <c r="R173" s="37">
        <v>33.41356201726488</v>
      </c>
      <c r="S173" s="37">
        <v>23.586043776892858</v>
      </c>
      <c r="T173" s="42">
        <v>11.13785400575496</v>
      </c>
      <c r="V173" s="41">
        <v>2</v>
      </c>
      <c r="W173" s="37">
        <v>3</v>
      </c>
      <c r="X173" s="37">
        <v>7</v>
      </c>
      <c r="Y173" s="42">
        <v>7</v>
      </c>
      <c r="Z173" s="41">
        <v>2</v>
      </c>
      <c r="AA173" s="37">
        <v>5</v>
      </c>
      <c r="AB173" s="37">
        <v>11</v>
      </c>
      <c r="AC173" s="42">
        <v>12</v>
      </c>
      <c r="AD173" s="20"/>
    </row>
    <row r="174" spans="2:30" s="65" customFormat="1" x14ac:dyDescent="0.3">
      <c r="B174" s="201"/>
      <c r="C174" s="248"/>
      <c r="D174" s="43" t="s">
        <v>187</v>
      </c>
      <c r="E174" s="44">
        <v>6</v>
      </c>
      <c r="F174" s="45">
        <v>16</v>
      </c>
      <c r="G174" s="46">
        <v>21</v>
      </c>
      <c r="H174" s="47">
        <v>5705</v>
      </c>
      <c r="I174" s="48">
        <v>130</v>
      </c>
      <c r="J174" s="49">
        <v>2.5929354893103338E-3</v>
      </c>
      <c r="K174" s="50">
        <v>282</v>
      </c>
      <c r="L174" s="51">
        <v>8</v>
      </c>
      <c r="M174" s="49">
        <v>5.832471561530507E-2</v>
      </c>
      <c r="N174"/>
      <c r="O174" s="52">
        <v>685.28178100863238</v>
      </c>
      <c r="P174" s="50">
        <v>403.28178100863238</v>
      </c>
      <c r="Q174" s="48">
        <v>114.2136301681054</v>
      </c>
      <c r="R174" s="48">
        <v>42.830111313039524</v>
      </c>
      <c r="S174" s="48">
        <v>32.632465762315825</v>
      </c>
      <c r="T174" s="53">
        <v>14.276703771013175</v>
      </c>
      <c r="U174"/>
      <c r="V174" s="52">
        <v>1</v>
      </c>
      <c r="W174" s="48">
        <v>3</v>
      </c>
      <c r="X174" s="48">
        <v>6</v>
      </c>
      <c r="Y174" s="53">
        <v>6</v>
      </c>
      <c r="Z174" s="52">
        <v>3</v>
      </c>
      <c r="AA174" s="48">
        <v>7</v>
      </c>
      <c r="AB174" s="48">
        <v>15</v>
      </c>
      <c r="AC174" s="53">
        <v>16</v>
      </c>
      <c r="AD174" s="54"/>
    </row>
    <row r="175" spans="2:30" x14ac:dyDescent="0.3">
      <c r="B175" s="201"/>
      <c r="C175" s="248"/>
      <c r="D175" s="32" t="s">
        <v>188</v>
      </c>
      <c r="E175" s="33">
        <v>3</v>
      </c>
      <c r="F175" s="34">
        <v>7</v>
      </c>
      <c r="G175" s="35">
        <v>12</v>
      </c>
      <c r="H175" s="36">
        <v>3078</v>
      </c>
      <c r="I175" s="37">
        <v>181</v>
      </c>
      <c r="J175" s="38">
        <v>1.3989580080801414E-3</v>
      </c>
      <c r="K175" s="39">
        <v>114</v>
      </c>
      <c r="L175" s="40">
        <v>6</v>
      </c>
      <c r="M175" s="38">
        <v>4.2776735459662291E-2</v>
      </c>
      <c r="O175" s="41">
        <v>277.02880508859613</v>
      </c>
      <c r="P175" s="39">
        <v>163.02880508859613</v>
      </c>
      <c r="Q175" s="37">
        <v>92.342935029532043</v>
      </c>
      <c r="R175" s="37">
        <v>39.57554358408516</v>
      </c>
      <c r="S175" s="37">
        <v>23.085733757383011</v>
      </c>
      <c r="T175" s="42">
        <v>13.191847861361721</v>
      </c>
      <c r="V175" s="41">
        <v>1</v>
      </c>
      <c r="W175" s="37">
        <v>2</v>
      </c>
      <c r="X175" s="37">
        <v>3</v>
      </c>
      <c r="Y175" s="42">
        <v>3</v>
      </c>
      <c r="Z175" s="41">
        <v>2</v>
      </c>
      <c r="AA175" s="37">
        <v>3</v>
      </c>
      <c r="AB175" s="37">
        <v>7</v>
      </c>
      <c r="AC175" s="42">
        <v>7</v>
      </c>
      <c r="AD175" s="20"/>
    </row>
    <row r="176" spans="2:30" x14ac:dyDescent="0.3">
      <c r="B176" s="201"/>
      <c r="C176" s="248"/>
      <c r="D176" s="43" t="s">
        <v>189</v>
      </c>
      <c r="E176" s="44">
        <v>5</v>
      </c>
      <c r="F176" s="45">
        <v>10</v>
      </c>
      <c r="G176" s="46">
        <v>21</v>
      </c>
      <c r="H176" s="47">
        <v>5689</v>
      </c>
      <c r="I176" s="48">
        <v>131</v>
      </c>
      <c r="J176" s="49">
        <v>2.585663452881067E-3</v>
      </c>
      <c r="K176" s="50">
        <v>105</v>
      </c>
      <c r="L176" s="51">
        <v>9</v>
      </c>
      <c r="M176" s="49">
        <v>2.2455089820359281E-2</v>
      </c>
      <c r="O176" s="52">
        <v>255.15810995002269</v>
      </c>
      <c r="P176" s="50">
        <v>150.15810995002269</v>
      </c>
      <c r="Q176" s="48">
        <v>51.031621990004538</v>
      </c>
      <c r="R176" s="48">
        <v>25.515810995002269</v>
      </c>
      <c r="S176" s="48">
        <v>12.150386188096318</v>
      </c>
      <c r="T176" s="53">
        <v>8.5052703316674236</v>
      </c>
      <c r="V176" s="52">
        <v>1</v>
      </c>
      <c r="W176" s="48">
        <v>2</v>
      </c>
      <c r="X176" s="48">
        <v>5</v>
      </c>
      <c r="Y176" s="53">
        <v>5</v>
      </c>
      <c r="Z176" s="52">
        <v>2</v>
      </c>
      <c r="AA176" s="48">
        <v>4</v>
      </c>
      <c r="AB176" s="48">
        <v>9</v>
      </c>
      <c r="AC176" s="53">
        <v>10</v>
      </c>
      <c r="AD176" s="20"/>
    </row>
    <row r="177" spans="2:30" x14ac:dyDescent="0.3">
      <c r="B177" s="201"/>
      <c r="C177" s="248"/>
      <c r="D177" s="32" t="s">
        <v>190</v>
      </c>
      <c r="E177" s="33">
        <v>6</v>
      </c>
      <c r="F177" s="34">
        <v>19</v>
      </c>
      <c r="G177" s="35">
        <v>30</v>
      </c>
      <c r="H177" s="36">
        <v>7313</v>
      </c>
      <c r="I177" s="37">
        <v>95</v>
      </c>
      <c r="J177" s="38">
        <v>3.3237751504516162E-3</v>
      </c>
      <c r="K177" s="39">
        <v>498</v>
      </c>
      <c r="L177" s="40">
        <v>5</v>
      </c>
      <c r="M177" s="38">
        <v>8.072621170367969E-2</v>
      </c>
      <c r="O177" s="41">
        <v>1210.1784643343935</v>
      </c>
      <c r="P177" s="39">
        <v>712.17846433439354</v>
      </c>
      <c r="Q177" s="37">
        <v>201.69641072239892</v>
      </c>
      <c r="R177" s="37">
        <v>63.693603386020712</v>
      </c>
      <c r="S177" s="37">
        <v>40.339282144479782</v>
      </c>
      <c r="T177" s="42">
        <v>21.231201128673572</v>
      </c>
      <c r="V177" s="41">
        <v>1</v>
      </c>
      <c r="W177" s="37">
        <v>3</v>
      </c>
      <c r="X177" s="37">
        <v>6</v>
      </c>
      <c r="Y177" s="42">
        <v>6</v>
      </c>
      <c r="Z177" s="41">
        <v>3</v>
      </c>
      <c r="AA177" s="37">
        <v>8</v>
      </c>
      <c r="AB177" s="37">
        <v>18</v>
      </c>
      <c r="AC177" s="42">
        <v>19</v>
      </c>
      <c r="AD177" s="20"/>
    </row>
    <row r="178" spans="2:30" x14ac:dyDescent="0.3">
      <c r="B178" s="201"/>
      <c r="C178" s="248"/>
      <c r="D178" s="43" t="s">
        <v>191</v>
      </c>
      <c r="E178" s="44">
        <v>6</v>
      </c>
      <c r="F178" s="45">
        <v>14</v>
      </c>
      <c r="G178" s="46">
        <v>27</v>
      </c>
      <c r="H178" s="47">
        <v>6963</v>
      </c>
      <c r="I178" s="48">
        <v>106</v>
      </c>
      <c r="J178" s="49">
        <v>3.1646993535614115E-3</v>
      </c>
      <c r="K178" s="50">
        <v>318</v>
      </c>
      <c r="L178" s="51">
        <v>7</v>
      </c>
      <c r="M178" s="49">
        <v>5.7009680889207603E-2</v>
      </c>
      <c r="O178" s="52">
        <v>772.76456156292591</v>
      </c>
      <c r="P178" s="50">
        <v>454.76456156292591</v>
      </c>
      <c r="Q178" s="48">
        <v>128.79409359382097</v>
      </c>
      <c r="R178" s="48">
        <v>55.197468683066134</v>
      </c>
      <c r="S178" s="48">
        <v>28.620909687515773</v>
      </c>
      <c r="T178" s="53">
        <v>18.39915622768871</v>
      </c>
      <c r="V178" s="52">
        <v>1</v>
      </c>
      <c r="W178" s="48">
        <v>3</v>
      </c>
      <c r="X178" s="48">
        <v>6</v>
      </c>
      <c r="Y178" s="53">
        <v>6</v>
      </c>
      <c r="Z178" s="52">
        <v>3</v>
      </c>
      <c r="AA178" s="48">
        <v>6</v>
      </c>
      <c r="AB178" s="48">
        <v>13</v>
      </c>
      <c r="AC178" s="53">
        <v>14</v>
      </c>
      <c r="AD178" s="20"/>
    </row>
    <row r="179" spans="2:30" x14ac:dyDescent="0.3">
      <c r="B179" s="201"/>
      <c r="C179" s="248"/>
      <c r="D179" s="32" t="s">
        <v>192</v>
      </c>
      <c r="E179" s="33">
        <v>6</v>
      </c>
      <c r="F179" s="34">
        <v>12</v>
      </c>
      <c r="G179" s="35">
        <v>15</v>
      </c>
      <c r="H179" s="36">
        <v>4116</v>
      </c>
      <c r="I179" s="37">
        <v>162</v>
      </c>
      <c r="J179" s="38">
        <v>1.8707313714288051E-3</v>
      </c>
      <c r="K179" s="39">
        <v>210</v>
      </c>
      <c r="L179" s="40">
        <v>6</v>
      </c>
      <c r="M179" s="38">
        <v>6.1082024432809773E-2</v>
      </c>
      <c r="O179" s="41">
        <v>510.31621990004538</v>
      </c>
      <c r="P179" s="39">
        <v>300.31621990004538</v>
      </c>
      <c r="Q179" s="37">
        <v>85.052703316674226</v>
      </c>
      <c r="R179" s="37">
        <v>42.526351658337113</v>
      </c>
      <c r="S179" s="37">
        <v>34.021081326669695</v>
      </c>
      <c r="T179" s="42">
        <v>14.175450552779038</v>
      </c>
      <c r="V179" s="41">
        <v>1</v>
      </c>
      <c r="W179" s="37">
        <v>3</v>
      </c>
      <c r="X179" s="37">
        <v>6</v>
      </c>
      <c r="Y179" s="42">
        <v>6</v>
      </c>
      <c r="Z179" s="41">
        <v>2</v>
      </c>
      <c r="AA179" s="37">
        <v>5</v>
      </c>
      <c r="AB179" s="37">
        <v>11</v>
      </c>
      <c r="AC179" s="42">
        <v>12</v>
      </c>
      <c r="AD179" s="20"/>
    </row>
    <row r="180" spans="2:30" x14ac:dyDescent="0.3">
      <c r="B180" s="201"/>
      <c r="C180" s="248"/>
      <c r="D180" s="43" t="s">
        <v>193</v>
      </c>
      <c r="E180" s="44">
        <v>6</v>
      </c>
      <c r="F180" s="45">
        <v>17</v>
      </c>
      <c r="G180" s="46">
        <v>26</v>
      </c>
      <c r="H180" s="47">
        <v>7080</v>
      </c>
      <c r="I180" s="48">
        <v>103</v>
      </c>
      <c r="J180" s="49">
        <v>3.217876119950423E-3</v>
      </c>
      <c r="K180" s="50">
        <v>264</v>
      </c>
      <c r="L180" s="51">
        <v>7</v>
      </c>
      <c r="M180" s="49">
        <v>4.3672456575682382E-2</v>
      </c>
      <c r="O180" s="52">
        <v>641.54039073148567</v>
      </c>
      <c r="P180" s="50">
        <v>377.54039073148567</v>
      </c>
      <c r="Q180" s="48">
        <v>106.92339845524761</v>
      </c>
      <c r="R180" s="48">
        <v>37.737670043028572</v>
      </c>
      <c r="S180" s="48">
        <v>24.674630412749448</v>
      </c>
      <c r="T180" s="53">
        <v>12.579223347676191</v>
      </c>
      <c r="V180" s="52">
        <v>1</v>
      </c>
      <c r="W180" s="48">
        <v>3</v>
      </c>
      <c r="X180" s="48">
        <v>6</v>
      </c>
      <c r="Y180" s="53">
        <v>6</v>
      </c>
      <c r="Z180" s="52">
        <v>3</v>
      </c>
      <c r="AA180" s="48">
        <v>7</v>
      </c>
      <c r="AB180" s="48">
        <v>16</v>
      </c>
      <c r="AC180" s="53">
        <v>17</v>
      </c>
      <c r="AD180" s="20"/>
    </row>
    <row r="181" spans="2:30" x14ac:dyDescent="0.3">
      <c r="B181" s="201"/>
      <c r="C181" s="248"/>
      <c r="D181" s="32" t="s">
        <v>194</v>
      </c>
      <c r="E181" s="33">
        <v>7</v>
      </c>
      <c r="F181" s="34">
        <v>20</v>
      </c>
      <c r="G181" s="35">
        <v>27</v>
      </c>
      <c r="H181" s="36">
        <v>7339</v>
      </c>
      <c r="I181" s="37">
        <v>94</v>
      </c>
      <c r="J181" s="38">
        <v>3.3355922096491744E-3</v>
      </c>
      <c r="K181" s="39">
        <v>504</v>
      </c>
      <c r="L181" s="40">
        <v>4</v>
      </c>
      <c r="M181" s="38">
        <v>8.6316150025689334E-2</v>
      </c>
      <c r="O181" s="41">
        <v>1224.7589277601089</v>
      </c>
      <c r="P181" s="39">
        <v>720.75892776010892</v>
      </c>
      <c r="Q181" s="37">
        <v>174.965561108587</v>
      </c>
      <c r="R181" s="37">
        <v>61.237946388005447</v>
      </c>
      <c r="S181" s="37">
        <v>45.361441768892924</v>
      </c>
      <c r="T181" s="42">
        <v>20.412648796001815</v>
      </c>
      <c r="V181" s="41">
        <v>2</v>
      </c>
      <c r="W181" s="37">
        <v>3</v>
      </c>
      <c r="X181" s="37">
        <v>7</v>
      </c>
      <c r="Y181" s="42">
        <v>7</v>
      </c>
      <c r="Z181" s="41">
        <v>3</v>
      </c>
      <c r="AA181" s="37">
        <v>8</v>
      </c>
      <c r="AB181" s="37">
        <v>18</v>
      </c>
      <c r="AC181" s="42">
        <v>20</v>
      </c>
      <c r="AD181" s="20"/>
    </row>
    <row r="182" spans="2:30" s="65" customFormat="1" x14ac:dyDescent="0.3">
      <c r="B182" s="201"/>
      <c r="C182" s="248"/>
      <c r="D182" s="43" t="s">
        <v>195</v>
      </c>
      <c r="E182" s="44">
        <v>5</v>
      </c>
      <c r="F182" s="45">
        <v>10</v>
      </c>
      <c r="G182" s="46">
        <v>17</v>
      </c>
      <c r="H182" s="47">
        <v>4535</v>
      </c>
      <c r="I182" s="48">
        <v>155</v>
      </c>
      <c r="J182" s="49">
        <v>2.0611678254202214E-3</v>
      </c>
      <c r="K182" s="50">
        <v>300</v>
      </c>
      <c r="L182" s="51">
        <v>5</v>
      </c>
      <c r="M182" s="49">
        <v>8.0407397480568216E-2</v>
      </c>
      <c r="N182"/>
      <c r="O182" s="52">
        <v>729.0231712857792</v>
      </c>
      <c r="P182" s="50">
        <v>429.0231712857792</v>
      </c>
      <c r="Q182" s="48">
        <v>145.80463425715584</v>
      </c>
      <c r="R182" s="48">
        <v>72.90231712857792</v>
      </c>
      <c r="S182" s="48">
        <v>42.883715957987015</v>
      </c>
      <c r="T182" s="53">
        <v>24.30077237619264</v>
      </c>
      <c r="U182"/>
      <c r="V182" s="52">
        <v>1</v>
      </c>
      <c r="W182" s="48">
        <v>2</v>
      </c>
      <c r="X182" s="48">
        <v>5</v>
      </c>
      <c r="Y182" s="53">
        <v>5</v>
      </c>
      <c r="Z182" s="52">
        <v>2</v>
      </c>
      <c r="AA182" s="48">
        <v>4</v>
      </c>
      <c r="AB182" s="48">
        <v>9</v>
      </c>
      <c r="AC182" s="53">
        <v>10</v>
      </c>
      <c r="AD182" s="54"/>
    </row>
    <row r="183" spans="2:30" x14ac:dyDescent="0.3">
      <c r="B183" s="201"/>
      <c r="C183" s="248"/>
      <c r="D183" s="32" t="s">
        <v>196</v>
      </c>
      <c r="E183" s="33">
        <v>6</v>
      </c>
      <c r="F183" s="34">
        <v>13</v>
      </c>
      <c r="G183" s="35">
        <v>19</v>
      </c>
      <c r="H183" s="36">
        <v>5121</v>
      </c>
      <c r="I183" s="37">
        <v>143</v>
      </c>
      <c r="J183" s="38">
        <v>2.3275061596421068E-3</v>
      </c>
      <c r="K183" s="39">
        <v>131</v>
      </c>
      <c r="L183" s="40">
        <v>8</v>
      </c>
      <c r="M183" s="38">
        <v>3.1528279181708786E-2</v>
      </c>
      <c r="O183" s="41">
        <v>318.34011812812361</v>
      </c>
      <c r="P183" s="39">
        <v>187.34011812812361</v>
      </c>
      <c r="Q183" s="37">
        <v>53.056686354687265</v>
      </c>
      <c r="R183" s="37">
        <v>24.487701394471046</v>
      </c>
      <c r="S183" s="37">
        <v>16.754743059374928</v>
      </c>
      <c r="T183" s="42">
        <v>8.1625671314903485</v>
      </c>
      <c r="V183" s="41">
        <v>1</v>
      </c>
      <c r="W183" s="37">
        <v>3</v>
      </c>
      <c r="X183" s="37">
        <v>6</v>
      </c>
      <c r="Y183" s="42">
        <v>6</v>
      </c>
      <c r="Z183" s="41">
        <v>2</v>
      </c>
      <c r="AA183" s="37">
        <v>6</v>
      </c>
      <c r="AB183" s="37">
        <v>12</v>
      </c>
      <c r="AC183" s="42">
        <v>13</v>
      </c>
      <c r="AD183" s="20"/>
    </row>
    <row r="184" spans="2:30" x14ac:dyDescent="0.3">
      <c r="B184" s="201"/>
      <c r="C184" s="248"/>
      <c r="D184" s="43" t="s">
        <v>197</v>
      </c>
      <c r="E184" s="44">
        <v>4</v>
      </c>
      <c r="F184" s="45">
        <v>9</v>
      </c>
      <c r="G184" s="46">
        <v>16</v>
      </c>
      <c r="H184" s="47">
        <v>4169</v>
      </c>
      <c r="I184" s="48">
        <v>161</v>
      </c>
      <c r="J184" s="49">
        <v>1.8948199921007504E-3</v>
      </c>
      <c r="K184" s="50">
        <v>197</v>
      </c>
      <c r="L184" s="51">
        <v>6</v>
      </c>
      <c r="M184" s="49">
        <v>5.7434402332361516E-2</v>
      </c>
      <c r="O184" s="52">
        <v>478.72521581099494</v>
      </c>
      <c r="P184" s="50">
        <v>281.72521581099494</v>
      </c>
      <c r="Q184" s="48">
        <v>119.68130395274873</v>
      </c>
      <c r="R184" s="48">
        <v>53.191690645666107</v>
      </c>
      <c r="S184" s="48">
        <v>29.920325988187184</v>
      </c>
      <c r="T184" s="53">
        <v>17.73056354855537</v>
      </c>
      <c r="V184" s="52">
        <v>1</v>
      </c>
      <c r="W184" s="48">
        <v>2</v>
      </c>
      <c r="X184" s="48">
        <v>4</v>
      </c>
      <c r="Y184" s="53">
        <v>4</v>
      </c>
      <c r="Z184" s="52">
        <v>2</v>
      </c>
      <c r="AA184" s="48">
        <v>4</v>
      </c>
      <c r="AB184" s="48">
        <v>9</v>
      </c>
      <c r="AC184" s="53">
        <v>9</v>
      </c>
      <c r="AD184" s="20"/>
    </row>
    <row r="185" spans="2:30" x14ac:dyDescent="0.3">
      <c r="B185" s="201"/>
      <c r="C185" s="249"/>
      <c r="D185" s="55" t="s">
        <v>27</v>
      </c>
      <c r="E185" s="56">
        <v>81</v>
      </c>
      <c r="F185" s="57">
        <v>207</v>
      </c>
      <c r="G185" s="58">
        <v>293</v>
      </c>
      <c r="H185" s="59">
        <v>77264</v>
      </c>
      <c r="I185" s="60">
        <v>12</v>
      </c>
      <c r="J185" s="61">
        <v>3.5116663916927894E-2</v>
      </c>
      <c r="K185" s="62">
        <f>SUM(K172:K184)</f>
        <v>3733</v>
      </c>
      <c r="L185" s="63">
        <v>8</v>
      </c>
      <c r="M185" s="64">
        <v>5.8987121750809828E-2</v>
      </c>
      <c r="N185" s="65"/>
      <c r="O185" s="66">
        <v>9071.4783280327138</v>
      </c>
      <c r="P185" s="62">
        <v>5338.4783280327119</v>
      </c>
      <c r="Q185" s="67">
        <v>111.99355960534214</v>
      </c>
      <c r="R185" s="67">
        <v>43.823566802090404</v>
      </c>
      <c r="S185" s="67">
        <v>30.960676887483665</v>
      </c>
      <c r="T185" s="68">
        <v>14.607855600696801</v>
      </c>
      <c r="U185" s="65"/>
      <c r="V185" s="86">
        <v>17</v>
      </c>
      <c r="W185" s="67">
        <v>38</v>
      </c>
      <c r="X185" s="67">
        <v>80</v>
      </c>
      <c r="Y185" s="68">
        <v>81</v>
      </c>
      <c r="Z185" s="86">
        <v>37</v>
      </c>
      <c r="AA185" s="67">
        <v>87</v>
      </c>
      <c r="AB185" s="67">
        <v>192</v>
      </c>
      <c r="AC185" s="68">
        <v>207</v>
      </c>
      <c r="AD185" s="20"/>
    </row>
    <row r="186" spans="2:30" x14ac:dyDescent="0.3">
      <c r="B186" s="201"/>
      <c r="C186" s="250" t="s">
        <v>198</v>
      </c>
      <c r="D186" s="21" t="s">
        <v>199</v>
      </c>
      <c r="E186" s="22">
        <v>6</v>
      </c>
      <c r="F186" s="23">
        <v>16</v>
      </c>
      <c r="G186" s="24">
        <v>23</v>
      </c>
      <c r="H186" s="25">
        <v>6018</v>
      </c>
      <c r="I186" s="26">
        <v>122</v>
      </c>
      <c r="J186" s="27">
        <v>2.7351947019578593E-3</v>
      </c>
      <c r="K186" s="28">
        <v>387</v>
      </c>
      <c r="L186" s="29">
        <v>5</v>
      </c>
      <c r="M186" s="27">
        <v>8.5036255767963087E-2</v>
      </c>
      <c r="O186" s="30">
        <v>940.43989095865504</v>
      </c>
      <c r="P186" s="28">
        <v>553.43989095865504</v>
      </c>
      <c r="Q186" s="26">
        <v>156.73998182644252</v>
      </c>
      <c r="R186" s="26">
        <v>58.77749318491594</v>
      </c>
      <c r="S186" s="26">
        <v>40.888690911245874</v>
      </c>
      <c r="T186" s="31">
        <v>19.592497728305315</v>
      </c>
      <c r="V186" s="30">
        <v>1</v>
      </c>
      <c r="W186" s="26">
        <v>3</v>
      </c>
      <c r="X186" s="26">
        <v>6</v>
      </c>
      <c r="Y186" s="31">
        <v>6</v>
      </c>
      <c r="Z186" s="30">
        <v>3</v>
      </c>
      <c r="AA186" s="26">
        <v>7</v>
      </c>
      <c r="AB186" s="26">
        <v>15</v>
      </c>
      <c r="AC186" s="31">
        <v>16</v>
      </c>
      <c r="AD186" s="20"/>
    </row>
    <row r="187" spans="2:30" x14ac:dyDescent="0.3">
      <c r="B187" s="201"/>
      <c r="C187" s="248"/>
      <c r="D187" s="32" t="s">
        <v>200</v>
      </c>
      <c r="E187" s="33">
        <v>8</v>
      </c>
      <c r="F187" s="34">
        <v>21</v>
      </c>
      <c r="G187" s="35">
        <v>30</v>
      </c>
      <c r="H187" s="36">
        <v>7834</v>
      </c>
      <c r="I187" s="37">
        <v>89</v>
      </c>
      <c r="J187" s="38">
        <v>3.5605708366796066E-3</v>
      </c>
      <c r="K187" s="39">
        <v>649</v>
      </c>
      <c r="L187" s="40">
        <v>3</v>
      </c>
      <c r="M187" s="38">
        <v>0.10637600393378134</v>
      </c>
      <c r="O187" s="41">
        <v>1577.1201272149024</v>
      </c>
      <c r="P187" s="39">
        <v>928.12012721490237</v>
      </c>
      <c r="Q187" s="37">
        <v>197.1400159018628</v>
      </c>
      <c r="R187" s="37">
        <v>75.100958438804881</v>
      </c>
      <c r="S187" s="37">
        <v>52.570670907163411</v>
      </c>
      <c r="T187" s="42">
        <v>25.03365281293496</v>
      </c>
      <c r="V187" s="41">
        <v>2</v>
      </c>
      <c r="W187" s="37">
        <v>4</v>
      </c>
      <c r="X187" s="37">
        <v>8</v>
      </c>
      <c r="Y187" s="42">
        <v>8</v>
      </c>
      <c r="Z187" s="41">
        <v>4</v>
      </c>
      <c r="AA187" s="37">
        <v>9</v>
      </c>
      <c r="AB187" s="37">
        <v>19</v>
      </c>
      <c r="AC187" s="42">
        <v>21</v>
      </c>
      <c r="AD187" s="20"/>
    </row>
    <row r="188" spans="2:30" x14ac:dyDescent="0.3">
      <c r="B188" s="201"/>
      <c r="C188" s="248"/>
      <c r="D188" s="43" t="s">
        <v>201</v>
      </c>
      <c r="E188" s="44">
        <v>3</v>
      </c>
      <c r="F188" s="45">
        <v>7</v>
      </c>
      <c r="G188" s="46">
        <v>8</v>
      </c>
      <c r="H188" s="47">
        <v>2156</v>
      </c>
      <c r="I188" s="48">
        <v>187</v>
      </c>
      <c r="J188" s="49">
        <v>9.7990690884365984E-4</v>
      </c>
      <c r="K188" s="50">
        <v>235</v>
      </c>
      <c r="L188" s="51">
        <v>4</v>
      </c>
      <c r="M188" s="49">
        <v>0.13913558318531677</v>
      </c>
      <c r="O188" s="52">
        <v>571.0681508405271</v>
      </c>
      <c r="P188" s="50">
        <v>336.0681508405271</v>
      </c>
      <c r="Q188" s="48">
        <v>190.35605028017571</v>
      </c>
      <c r="R188" s="48">
        <v>81.581164405789579</v>
      </c>
      <c r="S188" s="48">
        <v>71.383518855065887</v>
      </c>
      <c r="T188" s="53">
        <v>27.193721468596525</v>
      </c>
      <c r="V188" s="52">
        <v>1</v>
      </c>
      <c r="W188" s="48">
        <v>2</v>
      </c>
      <c r="X188" s="48">
        <v>3</v>
      </c>
      <c r="Y188" s="53">
        <v>3</v>
      </c>
      <c r="Z188" s="52">
        <v>2</v>
      </c>
      <c r="AA188" s="48">
        <v>3</v>
      </c>
      <c r="AB188" s="48">
        <v>7</v>
      </c>
      <c r="AC188" s="53">
        <v>7</v>
      </c>
      <c r="AD188" s="20"/>
    </row>
    <row r="189" spans="2:30" x14ac:dyDescent="0.3">
      <c r="B189" s="201"/>
      <c r="C189" s="248"/>
      <c r="D189" s="32" t="s">
        <v>198</v>
      </c>
      <c r="E189" s="33">
        <v>6</v>
      </c>
      <c r="F189" s="34">
        <v>16</v>
      </c>
      <c r="G189" s="35">
        <v>17</v>
      </c>
      <c r="H189" s="36">
        <v>4469</v>
      </c>
      <c r="I189" s="37">
        <v>156</v>
      </c>
      <c r="J189" s="38">
        <v>2.0311706751494972E-3</v>
      </c>
      <c r="K189" s="39">
        <v>393</v>
      </c>
      <c r="L189" s="40">
        <v>3</v>
      </c>
      <c r="M189" s="38">
        <v>0.11355099682172783</v>
      </c>
      <c r="O189" s="41">
        <v>955.02035438437076</v>
      </c>
      <c r="P189" s="39">
        <v>562.02035438437076</v>
      </c>
      <c r="Q189" s="37">
        <v>159.1700590640618</v>
      </c>
      <c r="R189" s="37">
        <v>59.688772149023173</v>
      </c>
      <c r="S189" s="37">
        <v>56.177667904962988</v>
      </c>
      <c r="T189" s="42">
        <v>19.896257383007725</v>
      </c>
      <c r="V189" s="41">
        <v>1</v>
      </c>
      <c r="W189" s="37">
        <v>3</v>
      </c>
      <c r="X189" s="37">
        <v>6</v>
      </c>
      <c r="Y189" s="42">
        <v>6</v>
      </c>
      <c r="Z189" s="41">
        <v>3</v>
      </c>
      <c r="AA189" s="37">
        <v>7</v>
      </c>
      <c r="AB189" s="37">
        <v>15</v>
      </c>
      <c r="AC189" s="42">
        <v>16</v>
      </c>
      <c r="AD189" s="20"/>
    </row>
    <row r="190" spans="2:30" x14ac:dyDescent="0.3">
      <c r="B190" s="201"/>
      <c r="C190" s="248"/>
      <c r="D190" s="43" t="s">
        <v>202</v>
      </c>
      <c r="E190" s="44">
        <v>7</v>
      </c>
      <c r="F190" s="45">
        <v>16</v>
      </c>
      <c r="G190" s="46">
        <v>22</v>
      </c>
      <c r="H190" s="47">
        <v>5776</v>
      </c>
      <c r="I190" s="48">
        <v>127</v>
      </c>
      <c r="J190" s="49">
        <v>2.6252051509652037E-3</v>
      </c>
      <c r="K190" s="50">
        <v>300</v>
      </c>
      <c r="L190" s="51">
        <v>6</v>
      </c>
      <c r="M190" s="49">
        <v>6.7965564114182142E-2</v>
      </c>
      <c r="O190" s="52">
        <v>729.0231712857792</v>
      </c>
      <c r="P190" s="50">
        <v>429.0231712857792</v>
      </c>
      <c r="Q190" s="48">
        <v>104.14616732653988</v>
      </c>
      <c r="R190" s="48">
        <v>45.5639482053612</v>
      </c>
      <c r="S190" s="48">
        <v>33.137416876626325</v>
      </c>
      <c r="T190" s="53">
        <v>15.1879827351204</v>
      </c>
      <c r="V190" s="52">
        <v>2</v>
      </c>
      <c r="W190" s="48">
        <v>3</v>
      </c>
      <c r="X190" s="48">
        <v>7</v>
      </c>
      <c r="Y190" s="53">
        <v>7</v>
      </c>
      <c r="Z190" s="52">
        <v>3</v>
      </c>
      <c r="AA190" s="48">
        <v>7</v>
      </c>
      <c r="AB190" s="48">
        <v>15</v>
      </c>
      <c r="AC190" s="53">
        <v>16</v>
      </c>
      <c r="AD190" s="20"/>
    </row>
    <row r="191" spans="2:30" x14ac:dyDescent="0.3">
      <c r="B191" s="201"/>
      <c r="C191" s="248"/>
      <c r="D191" s="32" t="s">
        <v>203</v>
      </c>
      <c r="E191" s="33">
        <v>6</v>
      </c>
      <c r="F191" s="34">
        <v>17</v>
      </c>
      <c r="G191" s="35">
        <v>26</v>
      </c>
      <c r="H191" s="36">
        <v>6600</v>
      </c>
      <c r="I191" s="37">
        <v>110</v>
      </c>
      <c r="J191" s="38">
        <v>2.9997150270724281E-3</v>
      </c>
      <c r="K191" s="39">
        <v>367</v>
      </c>
      <c r="L191" s="40">
        <v>5</v>
      </c>
      <c r="M191" s="38">
        <v>7.1819960861056756E-2</v>
      </c>
      <c r="O191" s="41">
        <v>891.83834620626988</v>
      </c>
      <c r="P191" s="39">
        <v>524.83834620626988</v>
      </c>
      <c r="Q191" s="37">
        <v>148.63972436771164</v>
      </c>
      <c r="R191" s="37">
        <v>52.46107918860411</v>
      </c>
      <c r="S191" s="37">
        <v>34.301474854087303</v>
      </c>
      <c r="T191" s="42">
        <v>17.487026396201369</v>
      </c>
      <c r="V191" s="41">
        <v>1</v>
      </c>
      <c r="W191" s="37">
        <v>3</v>
      </c>
      <c r="X191" s="37">
        <v>6</v>
      </c>
      <c r="Y191" s="42">
        <v>6</v>
      </c>
      <c r="Z191" s="41">
        <v>3</v>
      </c>
      <c r="AA191" s="37">
        <v>7</v>
      </c>
      <c r="AB191" s="37">
        <v>16</v>
      </c>
      <c r="AC191" s="42">
        <v>17</v>
      </c>
      <c r="AD191" s="20"/>
    </row>
    <row r="192" spans="2:30" x14ac:dyDescent="0.3">
      <c r="B192" s="201"/>
      <c r="C192" s="248"/>
      <c r="D192" s="43" t="s">
        <v>204</v>
      </c>
      <c r="E192" s="44">
        <v>6</v>
      </c>
      <c r="F192" s="45">
        <v>16</v>
      </c>
      <c r="G192" s="46">
        <v>24</v>
      </c>
      <c r="H192" s="47">
        <v>6351</v>
      </c>
      <c r="I192" s="48">
        <v>114</v>
      </c>
      <c r="J192" s="49">
        <v>2.8865439601419682E-3</v>
      </c>
      <c r="K192" s="50">
        <v>451</v>
      </c>
      <c r="L192" s="51">
        <v>5</v>
      </c>
      <c r="M192" s="49">
        <v>9.0835850956696884E-2</v>
      </c>
      <c r="O192" s="52">
        <v>1095.964834166288</v>
      </c>
      <c r="P192" s="50">
        <v>644.96483416628803</v>
      </c>
      <c r="Q192" s="48">
        <v>182.66080569438134</v>
      </c>
      <c r="R192" s="48">
        <v>68.497802135393002</v>
      </c>
      <c r="S192" s="48">
        <v>45.665201423595335</v>
      </c>
      <c r="T192" s="53">
        <v>22.832600711797667</v>
      </c>
      <c r="V192" s="52">
        <v>1</v>
      </c>
      <c r="W192" s="48">
        <v>3</v>
      </c>
      <c r="X192" s="48">
        <v>6</v>
      </c>
      <c r="Y192" s="53">
        <v>6</v>
      </c>
      <c r="Z192" s="52">
        <v>3</v>
      </c>
      <c r="AA192" s="48">
        <v>7</v>
      </c>
      <c r="AB192" s="48">
        <v>15</v>
      </c>
      <c r="AC192" s="53">
        <v>16</v>
      </c>
      <c r="AD192" s="20"/>
    </row>
    <row r="193" spans="2:30" x14ac:dyDescent="0.3">
      <c r="B193" s="201"/>
      <c r="C193" s="251"/>
      <c r="D193" s="75" t="s">
        <v>27</v>
      </c>
      <c r="E193" s="76">
        <v>42</v>
      </c>
      <c r="F193" s="77">
        <v>109</v>
      </c>
      <c r="G193" s="78">
        <v>150</v>
      </c>
      <c r="H193" s="79">
        <v>39204</v>
      </c>
      <c r="I193" s="80">
        <v>19</v>
      </c>
      <c r="J193" s="81">
        <v>1.7818307260810223E-2</v>
      </c>
      <c r="K193" s="82">
        <f>SUM(K186:K192)</f>
        <v>2782</v>
      </c>
      <c r="L193" s="83">
        <v>4</v>
      </c>
      <c r="M193" s="84">
        <v>9.1842461457198502E-2</v>
      </c>
      <c r="N193" s="65"/>
      <c r="O193" s="85">
        <v>6760.4748750567924</v>
      </c>
      <c r="P193" s="82">
        <v>3978.4748750567924</v>
      </c>
      <c r="Q193" s="70">
        <v>160.96368750135221</v>
      </c>
      <c r="R193" s="70">
        <v>62.02270527575039</v>
      </c>
      <c r="S193" s="70">
        <v>45.069832500378617</v>
      </c>
      <c r="T193" s="71">
        <v>20.674235091916795</v>
      </c>
      <c r="U193" s="65"/>
      <c r="V193" s="69">
        <v>9</v>
      </c>
      <c r="W193" s="70">
        <v>21</v>
      </c>
      <c r="X193" s="70">
        <v>42</v>
      </c>
      <c r="Y193" s="71">
        <v>42</v>
      </c>
      <c r="Z193" s="69">
        <v>21</v>
      </c>
      <c r="AA193" s="70">
        <v>47</v>
      </c>
      <c r="AB193" s="70">
        <v>102</v>
      </c>
      <c r="AC193" s="71">
        <v>109</v>
      </c>
      <c r="AD193" s="20"/>
    </row>
    <row r="194" spans="2:30" x14ac:dyDescent="0.3">
      <c r="B194" s="202"/>
      <c r="C194" s="252" t="s">
        <v>205</v>
      </c>
      <c r="D194" s="253"/>
      <c r="E194" s="95">
        <v>290</v>
      </c>
      <c r="F194" s="96">
        <v>869</v>
      </c>
      <c r="G194" s="97">
        <v>1147</v>
      </c>
      <c r="H194" s="98">
        <v>298957</v>
      </c>
      <c r="I194" s="99">
        <v>5</v>
      </c>
      <c r="J194" s="100">
        <v>0.13587663717401394</v>
      </c>
      <c r="K194" s="101">
        <f>K154+K163+K171+K185+K193</f>
        <v>22010</v>
      </c>
      <c r="L194" s="102">
        <v>4</v>
      </c>
      <c r="M194" s="103">
        <v>9.3465881343768445E-2</v>
      </c>
      <c r="N194" s="65"/>
      <c r="O194" s="104">
        <v>53486</v>
      </c>
      <c r="P194" s="101">
        <v>31476</v>
      </c>
      <c r="Q194" s="105">
        <v>184.4344827586207</v>
      </c>
      <c r="R194" s="105">
        <v>61.548906789413117</v>
      </c>
      <c r="S194" s="105">
        <v>46.631211857018307</v>
      </c>
      <c r="T194" s="106">
        <v>20.516302263137707</v>
      </c>
      <c r="U194" s="65"/>
      <c r="V194" s="107">
        <v>65</v>
      </c>
      <c r="W194" s="105">
        <v>136</v>
      </c>
      <c r="X194" s="105">
        <v>287</v>
      </c>
      <c r="Y194" s="106">
        <v>290</v>
      </c>
      <c r="Z194" s="107">
        <v>152</v>
      </c>
      <c r="AA194" s="105">
        <v>363</v>
      </c>
      <c r="AB194" s="105">
        <v>800</v>
      </c>
      <c r="AC194" s="106">
        <v>869</v>
      </c>
      <c r="AD194" s="20"/>
    </row>
    <row r="195" spans="2:30" x14ac:dyDescent="0.3">
      <c r="B195" s="200" t="s">
        <v>243</v>
      </c>
      <c r="C195" s="250" t="s">
        <v>206</v>
      </c>
      <c r="D195" s="21" t="s">
        <v>207</v>
      </c>
      <c r="E195" s="22">
        <v>16</v>
      </c>
      <c r="F195" s="23">
        <v>86</v>
      </c>
      <c r="G195" s="24">
        <v>98</v>
      </c>
      <c r="H195" s="25">
        <v>25900</v>
      </c>
      <c r="I195" s="26">
        <v>17</v>
      </c>
      <c r="J195" s="27">
        <v>1.1771608969875134E-2</v>
      </c>
      <c r="K195" s="28">
        <v>2377</v>
      </c>
      <c r="L195" s="29">
        <v>3</v>
      </c>
      <c r="M195" s="27">
        <v>0.11321743272207668</v>
      </c>
      <c r="O195" s="30">
        <v>3121.5666271006435</v>
      </c>
      <c r="P195" s="28">
        <v>744.56662710064347</v>
      </c>
      <c r="Q195" s="26">
        <v>195.09791419379022</v>
      </c>
      <c r="R195" s="26">
        <v>36.297286361635386</v>
      </c>
      <c r="S195" s="26">
        <v>31.852720684700444</v>
      </c>
      <c r="T195" s="31">
        <v>12.099095453878462</v>
      </c>
      <c r="V195" s="30">
        <v>3</v>
      </c>
      <c r="W195" s="26">
        <v>7</v>
      </c>
      <c r="X195" s="26">
        <v>15</v>
      </c>
      <c r="Y195" s="31">
        <v>16</v>
      </c>
      <c r="Z195" s="30">
        <v>13</v>
      </c>
      <c r="AA195" s="26">
        <v>35</v>
      </c>
      <c r="AB195" s="26">
        <v>78</v>
      </c>
      <c r="AC195" s="31">
        <v>86</v>
      </c>
      <c r="AD195" s="20"/>
    </row>
    <row r="196" spans="2:30" s="65" customFormat="1" x14ac:dyDescent="0.3">
      <c r="B196" s="201"/>
      <c r="C196" s="248"/>
      <c r="D196" s="32" t="s">
        <v>208</v>
      </c>
      <c r="E196" s="33">
        <v>15</v>
      </c>
      <c r="F196" s="34">
        <v>57</v>
      </c>
      <c r="G196" s="35">
        <v>43</v>
      </c>
      <c r="H196" s="36">
        <v>11485</v>
      </c>
      <c r="I196" s="37">
        <v>57</v>
      </c>
      <c r="J196" s="38">
        <v>5.2199586493828542E-3</v>
      </c>
      <c r="K196" s="39">
        <v>615</v>
      </c>
      <c r="L196" s="40">
        <v>5</v>
      </c>
      <c r="M196" s="38">
        <v>7.128781731772342E-2</v>
      </c>
      <c r="N196"/>
      <c r="O196" s="41">
        <v>807.64134441181977</v>
      </c>
      <c r="P196" s="39">
        <v>192.64134441181977</v>
      </c>
      <c r="Q196" s="37">
        <v>53.842756294121315</v>
      </c>
      <c r="R196" s="37">
        <v>14.16914639318982</v>
      </c>
      <c r="S196" s="37">
        <v>18.782356846786506</v>
      </c>
      <c r="T196" s="42">
        <v>4.7230487977299402</v>
      </c>
      <c r="U196"/>
      <c r="V196" s="41">
        <v>3</v>
      </c>
      <c r="W196" s="37">
        <v>6</v>
      </c>
      <c r="X196" s="37">
        <v>14</v>
      </c>
      <c r="Y196" s="42">
        <v>15</v>
      </c>
      <c r="Z196" s="41">
        <v>9</v>
      </c>
      <c r="AA196" s="37">
        <v>23</v>
      </c>
      <c r="AB196" s="37">
        <v>52</v>
      </c>
      <c r="AC196" s="42">
        <v>57</v>
      </c>
      <c r="AD196" s="54"/>
    </row>
    <row r="197" spans="2:30" x14ac:dyDescent="0.3">
      <c r="B197" s="201"/>
      <c r="C197" s="248"/>
      <c r="D197" s="43" t="s">
        <v>209</v>
      </c>
      <c r="E197" s="44">
        <v>9</v>
      </c>
      <c r="F197" s="45">
        <v>30</v>
      </c>
      <c r="G197" s="46">
        <v>62</v>
      </c>
      <c r="H197" s="47">
        <v>16718</v>
      </c>
      <c r="I197" s="48">
        <v>35</v>
      </c>
      <c r="J197" s="49">
        <v>7.5983690640298264E-3</v>
      </c>
      <c r="K197" s="50">
        <v>1418</v>
      </c>
      <c r="L197" s="51">
        <v>4</v>
      </c>
      <c r="M197" s="49">
        <v>0.11534081665853262</v>
      </c>
      <c r="O197" s="52">
        <v>1862.1714250015618</v>
      </c>
      <c r="P197" s="50">
        <v>444.17142500156183</v>
      </c>
      <c r="Q197" s="48">
        <v>206.90793611128464</v>
      </c>
      <c r="R197" s="48">
        <v>62.072380833385395</v>
      </c>
      <c r="S197" s="48">
        <v>30.035022983896159</v>
      </c>
      <c r="T197" s="53">
        <v>20.690793611128466</v>
      </c>
      <c r="V197" s="52">
        <v>2</v>
      </c>
      <c r="W197" s="48">
        <v>4</v>
      </c>
      <c r="X197" s="48">
        <v>9</v>
      </c>
      <c r="Y197" s="53">
        <v>9</v>
      </c>
      <c r="Z197" s="52">
        <v>5</v>
      </c>
      <c r="AA197" s="48">
        <v>12</v>
      </c>
      <c r="AB197" s="48">
        <v>27</v>
      </c>
      <c r="AC197" s="53">
        <v>30</v>
      </c>
      <c r="AD197" s="20"/>
    </row>
    <row r="198" spans="2:30" x14ac:dyDescent="0.3">
      <c r="B198" s="201"/>
      <c r="C198" s="248"/>
      <c r="D198" s="32" t="s">
        <v>210</v>
      </c>
      <c r="E198" s="33">
        <v>10</v>
      </c>
      <c r="F198" s="34">
        <v>37</v>
      </c>
      <c r="G198" s="35">
        <v>53</v>
      </c>
      <c r="H198" s="36">
        <v>14275</v>
      </c>
      <c r="I198" s="37">
        <v>42</v>
      </c>
      <c r="J198" s="38">
        <v>6.4880200017361986E-3</v>
      </c>
      <c r="K198" s="39">
        <v>1100</v>
      </c>
      <c r="L198" s="40">
        <v>3</v>
      </c>
      <c r="M198" s="38">
        <v>0.10482180293501048</v>
      </c>
      <c r="O198" s="41">
        <v>1444.5617542325233</v>
      </c>
      <c r="P198" s="39">
        <v>344.5617542325233</v>
      </c>
      <c r="Q198" s="37">
        <v>144.45617542325232</v>
      </c>
      <c r="R198" s="37">
        <v>39.042209573851984</v>
      </c>
      <c r="S198" s="37">
        <v>27.255882155330628</v>
      </c>
      <c r="T198" s="42">
        <v>13.014069857950661</v>
      </c>
      <c r="V198" s="41">
        <v>2</v>
      </c>
      <c r="W198" s="37">
        <v>4</v>
      </c>
      <c r="X198" s="37">
        <v>9</v>
      </c>
      <c r="Y198" s="42">
        <v>10</v>
      </c>
      <c r="Z198" s="41">
        <v>6</v>
      </c>
      <c r="AA198" s="37">
        <v>15</v>
      </c>
      <c r="AB198" s="37">
        <v>34</v>
      </c>
      <c r="AC198" s="42">
        <v>37</v>
      </c>
      <c r="AD198" s="20"/>
    </row>
    <row r="199" spans="2:30" x14ac:dyDescent="0.3">
      <c r="B199" s="201"/>
      <c r="C199" s="248"/>
      <c r="D199" s="43" t="s">
        <v>211</v>
      </c>
      <c r="E199" s="44">
        <v>22</v>
      </c>
      <c r="F199" s="45">
        <v>116</v>
      </c>
      <c r="G199" s="46">
        <v>114</v>
      </c>
      <c r="H199" s="47">
        <v>29578</v>
      </c>
      <c r="I199" s="48">
        <v>14</v>
      </c>
      <c r="J199" s="49">
        <v>1.344326834405277E-2</v>
      </c>
      <c r="K199" s="50">
        <v>2088</v>
      </c>
      <c r="L199" s="51">
        <v>3</v>
      </c>
      <c r="M199" s="49">
        <v>8.5475683641722616E-2</v>
      </c>
      <c r="O199" s="52">
        <v>2742.0408571250082</v>
      </c>
      <c r="P199" s="50">
        <v>654.04085712500819</v>
      </c>
      <c r="Q199" s="48">
        <v>124.63822077840946</v>
      </c>
      <c r="R199" s="48">
        <v>23.638283251077656</v>
      </c>
      <c r="S199" s="48">
        <v>24.052989974780772</v>
      </c>
      <c r="T199" s="53">
        <v>7.8794277503592189</v>
      </c>
      <c r="V199" s="52">
        <v>4</v>
      </c>
      <c r="W199" s="48">
        <v>9</v>
      </c>
      <c r="X199" s="48">
        <v>20</v>
      </c>
      <c r="Y199" s="53">
        <v>22</v>
      </c>
      <c r="Z199" s="52">
        <v>18</v>
      </c>
      <c r="AA199" s="48">
        <v>47</v>
      </c>
      <c r="AB199" s="48">
        <v>105</v>
      </c>
      <c r="AC199" s="53">
        <v>116</v>
      </c>
      <c r="AD199" s="20"/>
    </row>
    <row r="200" spans="2:30" x14ac:dyDescent="0.3">
      <c r="B200" s="201"/>
      <c r="C200" s="248"/>
      <c r="D200" s="32" t="s">
        <v>212</v>
      </c>
      <c r="E200" s="33">
        <v>7</v>
      </c>
      <c r="F200" s="34">
        <v>18</v>
      </c>
      <c r="G200" s="35">
        <v>34</v>
      </c>
      <c r="H200" s="36">
        <v>8843</v>
      </c>
      <c r="I200" s="37">
        <v>77</v>
      </c>
      <c r="J200" s="38">
        <v>4.0191636340002248E-3</v>
      </c>
      <c r="K200" s="39">
        <v>939</v>
      </c>
      <c r="L200" s="40">
        <v>2</v>
      </c>
      <c r="M200" s="38">
        <v>0.14305301645338209</v>
      </c>
      <c r="O200" s="41">
        <v>1233.1304429312177</v>
      </c>
      <c r="P200" s="39">
        <v>294.13044293121766</v>
      </c>
      <c r="Q200" s="37">
        <v>176.1614918473168</v>
      </c>
      <c r="R200" s="37">
        <v>68.507246829512098</v>
      </c>
      <c r="S200" s="37">
        <v>36.268542439153464</v>
      </c>
      <c r="T200" s="42">
        <v>22.835748943170699</v>
      </c>
      <c r="V200" s="41">
        <v>2</v>
      </c>
      <c r="W200" s="37">
        <v>3</v>
      </c>
      <c r="X200" s="37">
        <v>7</v>
      </c>
      <c r="Y200" s="42">
        <v>7</v>
      </c>
      <c r="Z200" s="41">
        <v>3</v>
      </c>
      <c r="AA200" s="37">
        <v>8</v>
      </c>
      <c r="AB200" s="37">
        <v>17</v>
      </c>
      <c r="AC200" s="42">
        <v>18</v>
      </c>
      <c r="AD200" s="20"/>
    </row>
    <row r="201" spans="2:30" x14ac:dyDescent="0.3">
      <c r="B201" s="201"/>
      <c r="C201" s="248"/>
      <c r="D201" s="43" t="s">
        <v>213</v>
      </c>
      <c r="E201" s="44">
        <v>8</v>
      </c>
      <c r="F201" s="45">
        <v>33</v>
      </c>
      <c r="G201" s="46">
        <v>22</v>
      </c>
      <c r="H201" s="47">
        <v>5749</v>
      </c>
      <c r="I201" s="48">
        <v>128</v>
      </c>
      <c r="J201" s="49">
        <v>2.6129335894908164E-3</v>
      </c>
      <c r="K201" s="50">
        <v>461</v>
      </c>
      <c r="L201" s="51">
        <v>3</v>
      </c>
      <c r="M201" s="49">
        <v>9.1431971439904794E-2</v>
      </c>
      <c r="O201" s="52">
        <v>605.40269881926656</v>
      </c>
      <c r="P201" s="50">
        <v>144.40269881926656</v>
      </c>
      <c r="Q201" s="48">
        <v>75.67533735240832</v>
      </c>
      <c r="R201" s="48">
        <v>18.345536327856564</v>
      </c>
      <c r="S201" s="48">
        <v>27.518304491784843</v>
      </c>
      <c r="T201" s="53">
        <v>6.1151787759521881</v>
      </c>
      <c r="V201" s="52">
        <v>2</v>
      </c>
      <c r="W201" s="48">
        <v>4</v>
      </c>
      <c r="X201" s="48">
        <v>8</v>
      </c>
      <c r="Y201" s="53">
        <v>8</v>
      </c>
      <c r="Z201" s="52">
        <v>5</v>
      </c>
      <c r="AA201" s="48">
        <v>14</v>
      </c>
      <c r="AB201" s="48">
        <v>30</v>
      </c>
      <c r="AC201" s="53">
        <v>33</v>
      </c>
      <c r="AD201" s="20"/>
    </row>
    <row r="202" spans="2:30" x14ac:dyDescent="0.3">
      <c r="B202" s="201"/>
      <c r="C202" s="251"/>
      <c r="D202" s="75" t="s">
        <v>27</v>
      </c>
      <c r="E202" s="76">
        <v>87</v>
      </c>
      <c r="F202" s="77">
        <v>377</v>
      </c>
      <c r="G202" s="78">
        <v>426</v>
      </c>
      <c r="H202" s="79">
        <v>112548</v>
      </c>
      <c r="I202" s="80">
        <v>7</v>
      </c>
      <c r="J202" s="81">
        <v>5.1153322252567822E-2</v>
      </c>
      <c r="K202" s="82">
        <f>SUM(K195:K201)</f>
        <v>8998</v>
      </c>
      <c r="L202" s="83">
        <v>3</v>
      </c>
      <c r="M202" s="84">
        <v>0.10173669214418163</v>
      </c>
      <c r="N202" s="65"/>
      <c r="O202" s="85">
        <v>11816.515149622042</v>
      </c>
      <c r="P202" s="82">
        <v>2818.5151496220406</v>
      </c>
      <c r="Q202" s="70">
        <v>135.82201321404645</v>
      </c>
      <c r="R202" s="70">
        <v>31.3435415109338</v>
      </c>
      <c r="S202" s="70">
        <v>27.738298473291181</v>
      </c>
      <c r="T202" s="71">
        <v>10.447847170311267</v>
      </c>
      <c r="U202" s="65"/>
      <c r="V202" s="69">
        <v>18</v>
      </c>
      <c r="W202" s="70">
        <v>37</v>
      </c>
      <c r="X202" s="70">
        <v>82</v>
      </c>
      <c r="Y202" s="71">
        <v>87</v>
      </c>
      <c r="Z202" s="69">
        <v>59</v>
      </c>
      <c r="AA202" s="70">
        <v>154</v>
      </c>
      <c r="AB202" s="70">
        <v>343</v>
      </c>
      <c r="AC202" s="71">
        <v>377</v>
      </c>
      <c r="AD202" s="20"/>
    </row>
    <row r="203" spans="2:30" x14ac:dyDescent="0.3">
      <c r="B203" s="201"/>
      <c r="C203" s="247" t="s">
        <v>214</v>
      </c>
      <c r="D203" s="87" t="s">
        <v>215</v>
      </c>
      <c r="E203" s="88">
        <v>6</v>
      </c>
      <c r="F203" s="89">
        <v>17</v>
      </c>
      <c r="G203" s="90">
        <v>39</v>
      </c>
      <c r="H203" s="91">
        <v>10332</v>
      </c>
      <c r="I203" s="73">
        <v>63</v>
      </c>
      <c r="J203" s="92">
        <v>4.6959175241988371E-3</v>
      </c>
      <c r="K203" s="93">
        <v>428</v>
      </c>
      <c r="L203" s="94">
        <v>7</v>
      </c>
      <c r="M203" s="92">
        <v>4.8964649353620868E-2</v>
      </c>
      <c r="O203" s="72">
        <v>562.06584619229091</v>
      </c>
      <c r="P203" s="93">
        <v>134.06584619229091</v>
      </c>
      <c r="Q203" s="73">
        <v>93.677641032048484</v>
      </c>
      <c r="R203" s="73">
        <v>33.062696834840644</v>
      </c>
      <c r="S203" s="73">
        <v>14.411944774161306</v>
      </c>
      <c r="T203" s="74">
        <v>11.020898944946881</v>
      </c>
      <c r="V203" s="72">
        <v>1</v>
      </c>
      <c r="W203" s="73">
        <v>3</v>
      </c>
      <c r="X203" s="73">
        <v>6</v>
      </c>
      <c r="Y203" s="74">
        <v>6</v>
      </c>
      <c r="Z203" s="72">
        <v>3</v>
      </c>
      <c r="AA203" s="73">
        <v>7</v>
      </c>
      <c r="AB203" s="73">
        <v>16</v>
      </c>
      <c r="AC203" s="74">
        <v>17</v>
      </c>
      <c r="AD203" s="20"/>
    </row>
    <row r="204" spans="2:30" x14ac:dyDescent="0.3">
      <c r="B204" s="201"/>
      <c r="C204" s="248"/>
      <c r="D204" s="32" t="s">
        <v>216</v>
      </c>
      <c r="E204" s="33">
        <v>6</v>
      </c>
      <c r="F204" s="34">
        <v>12</v>
      </c>
      <c r="G204" s="35">
        <v>22</v>
      </c>
      <c r="H204" s="36">
        <v>5903</v>
      </c>
      <c r="I204" s="37">
        <v>123</v>
      </c>
      <c r="J204" s="38">
        <v>2.6829269401225067E-3</v>
      </c>
      <c r="K204" s="39">
        <v>168</v>
      </c>
      <c r="L204" s="40">
        <v>8</v>
      </c>
      <c r="M204" s="38">
        <v>3.4518183686048899E-2</v>
      </c>
      <c r="O204" s="41">
        <v>220.62397701005813</v>
      </c>
      <c r="P204" s="39">
        <v>52.623977010058127</v>
      </c>
      <c r="Q204" s="37">
        <v>36.770662835009688</v>
      </c>
      <c r="R204" s="37">
        <v>18.385331417504844</v>
      </c>
      <c r="S204" s="37">
        <v>10.028362591366278</v>
      </c>
      <c r="T204" s="42">
        <v>6.128443805834948</v>
      </c>
      <c r="V204" s="41">
        <v>1</v>
      </c>
      <c r="W204" s="37">
        <v>3</v>
      </c>
      <c r="X204" s="37">
        <v>6</v>
      </c>
      <c r="Y204" s="42">
        <v>6</v>
      </c>
      <c r="Z204" s="41">
        <v>2</v>
      </c>
      <c r="AA204" s="37">
        <v>5</v>
      </c>
      <c r="AB204" s="37">
        <v>11</v>
      </c>
      <c r="AC204" s="42">
        <v>12</v>
      </c>
      <c r="AD204" s="20"/>
    </row>
    <row r="205" spans="2:30" x14ac:dyDescent="0.3">
      <c r="B205" s="201"/>
      <c r="C205" s="248"/>
      <c r="D205" s="43" t="s">
        <v>217</v>
      </c>
      <c r="E205" s="44">
        <v>7</v>
      </c>
      <c r="F205" s="45">
        <v>17</v>
      </c>
      <c r="G205" s="46">
        <v>24</v>
      </c>
      <c r="H205" s="47">
        <v>6419</v>
      </c>
      <c r="I205" s="48">
        <v>113</v>
      </c>
      <c r="J205" s="49">
        <v>2.9174501149663509E-3</v>
      </c>
      <c r="K205" s="50">
        <v>465</v>
      </c>
      <c r="L205" s="51">
        <v>4</v>
      </c>
      <c r="M205" s="49">
        <v>8.6689038031319915E-2</v>
      </c>
      <c r="O205" s="52">
        <v>610.65565065283931</v>
      </c>
      <c r="P205" s="50">
        <v>145.65565065283931</v>
      </c>
      <c r="Q205" s="48">
        <v>87.236521521834192</v>
      </c>
      <c r="R205" s="48">
        <v>35.92092062663761</v>
      </c>
      <c r="S205" s="48">
        <v>25.443985443868304</v>
      </c>
      <c r="T205" s="53">
        <v>11.973640208879203</v>
      </c>
      <c r="V205" s="52">
        <v>2</v>
      </c>
      <c r="W205" s="48">
        <v>3</v>
      </c>
      <c r="X205" s="48">
        <v>7</v>
      </c>
      <c r="Y205" s="53">
        <v>7</v>
      </c>
      <c r="Z205" s="52">
        <v>3</v>
      </c>
      <c r="AA205" s="48">
        <v>7</v>
      </c>
      <c r="AB205" s="48">
        <v>16</v>
      </c>
      <c r="AC205" s="53">
        <v>17</v>
      </c>
      <c r="AD205" s="20"/>
    </row>
    <row r="206" spans="2:30" x14ac:dyDescent="0.3">
      <c r="B206" s="201"/>
      <c r="C206" s="248"/>
      <c r="D206" s="32" t="s">
        <v>218</v>
      </c>
      <c r="E206" s="33">
        <v>13</v>
      </c>
      <c r="F206" s="34">
        <v>60</v>
      </c>
      <c r="G206" s="35">
        <v>62</v>
      </c>
      <c r="H206" s="36">
        <v>16808</v>
      </c>
      <c r="I206" s="37">
        <v>34</v>
      </c>
      <c r="J206" s="38">
        <v>7.6392742689444506E-3</v>
      </c>
      <c r="K206" s="39">
        <v>1796</v>
      </c>
      <c r="L206" s="40">
        <v>3</v>
      </c>
      <c r="M206" s="38">
        <v>0.1275024847366179</v>
      </c>
      <c r="O206" s="41">
        <v>2358.5753732741923</v>
      </c>
      <c r="P206" s="39">
        <v>562.57537327419232</v>
      </c>
      <c r="Q206" s="37">
        <v>181.42887486724555</v>
      </c>
      <c r="R206" s="37">
        <v>39.309589554569875</v>
      </c>
      <c r="S206" s="37">
        <v>38.041538278616002</v>
      </c>
      <c r="T206" s="42">
        <v>13.103196518189959</v>
      </c>
      <c r="V206" s="41">
        <v>2</v>
      </c>
      <c r="W206" s="37">
        <v>6</v>
      </c>
      <c r="X206" s="37">
        <v>12</v>
      </c>
      <c r="Y206" s="42">
        <v>13</v>
      </c>
      <c r="Z206" s="41">
        <v>9</v>
      </c>
      <c r="AA206" s="37">
        <v>24</v>
      </c>
      <c r="AB206" s="37">
        <v>54</v>
      </c>
      <c r="AC206" s="42">
        <v>60</v>
      </c>
      <c r="AD206" s="20"/>
    </row>
    <row r="207" spans="2:30" x14ac:dyDescent="0.3">
      <c r="B207" s="201"/>
      <c r="C207" s="248"/>
      <c r="D207" s="43" t="s">
        <v>219</v>
      </c>
      <c r="E207" s="44">
        <v>7</v>
      </c>
      <c r="F207" s="45">
        <v>21</v>
      </c>
      <c r="G207" s="46">
        <v>33</v>
      </c>
      <c r="H207" s="47">
        <v>8726</v>
      </c>
      <c r="I207" s="48">
        <v>80</v>
      </c>
      <c r="J207" s="49">
        <v>3.9659868676112132E-3</v>
      </c>
      <c r="K207" s="50">
        <v>489</v>
      </c>
      <c r="L207" s="51">
        <v>5</v>
      </c>
      <c r="M207" s="49">
        <v>6.8699072773250908E-2</v>
      </c>
      <c r="O207" s="52">
        <v>642.17336165427628</v>
      </c>
      <c r="P207" s="50">
        <v>153.17336165427628</v>
      </c>
      <c r="Q207" s="48">
        <v>91.739051664896607</v>
      </c>
      <c r="R207" s="48">
        <v>30.57968388829887</v>
      </c>
      <c r="S207" s="48">
        <v>19.459798838008371</v>
      </c>
      <c r="T207" s="53">
        <v>10.19322796276629</v>
      </c>
      <c r="V207" s="52">
        <v>2</v>
      </c>
      <c r="W207" s="48">
        <v>3</v>
      </c>
      <c r="X207" s="48">
        <v>7</v>
      </c>
      <c r="Y207" s="53">
        <v>7</v>
      </c>
      <c r="Z207" s="52">
        <v>4</v>
      </c>
      <c r="AA207" s="48">
        <v>9</v>
      </c>
      <c r="AB207" s="48">
        <v>19</v>
      </c>
      <c r="AC207" s="53">
        <v>21</v>
      </c>
      <c r="AD207" s="20"/>
    </row>
    <row r="208" spans="2:30" x14ac:dyDescent="0.3">
      <c r="B208" s="201"/>
      <c r="C208" s="248"/>
      <c r="D208" s="32" t="s">
        <v>220</v>
      </c>
      <c r="E208" s="33">
        <v>6</v>
      </c>
      <c r="F208" s="34">
        <v>12</v>
      </c>
      <c r="G208" s="35">
        <v>18</v>
      </c>
      <c r="H208" s="36">
        <v>4791</v>
      </c>
      <c r="I208" s="37">
        <v>151</v>
      </c>
      <c r="J208" s="38">
        <v>2.1775204082884851E-3</v>
      </c>
      <c r="K208" s="39">
        <v>358</v>
      </c>
      <c r="L208" s="40">
        <v>4</v>
      </c>
      <c r="M208" s="38">
        <v>9.4533931872194346E-2</v>
      </c>
      <c r="O208" s="41">
        <v>470.13918910476661</v>
      </c>
      <c r="P208" s="39">
        <v>112.13918910476661</v>
      </c>
      <c r="Q208" s="37">
        <v>78.356531517461107</v>
      </c>
      <c r="R208" s="37">
        <v>39.178265758730554</v>
      </c>
      <c r="S208" s="37">
        <v>26.118843839153701</v>
      </c>
      <c r="T208" s="42">
        <v>13.059421919576851</v>
      </c>
      <c r="V208" s="41">
        <v>1</v>
      </c>
      <c r="W208" s="37">
        <v>3</v>
      </c>
      <c r="X208" s="37">
        <v>6</v>
      </c>
      <c r="Y208" s="42">
        <v>6</v>
      </c>
      <c r="Z208" s="41">
        <v>2</v>
      </c>
      <c r="AA208" s="37">
        <v>5</v>
      </c>
      <c r="AB208" s="37">
        <v>11</v>
      </c>
      <c r="AC208" s="42">
        <v>12</v>
      </c>
      <c r="AD208" s="20"/>
    </row>
    <row r="209" spans="2:30" x14ac:dyDescent="0.3">
      <c r="B209" s="201"/>
      <c r="C209" s="248"/>
      <c r="D209" s="43" t="s">
        <v>221</v>
      </c>
      <c r="E209" s="44">
        <v>11</v>
      </c>
      <c r="F209" s="45">
        <v>44</v>
      </c>
      <c r="G209" s="46">
        <v>44</v>
      </c>
      <c r="H209" s="47">
        <v>11800</v>
      </c>
      <c r="I209" s="48">
        <v>54</v>
      </c>
      <c r="J209" s="49">
        <v>5.3631268665840382E-3</v>
      </c>
      <c r="K209" s="50">
        <v>1443</v>
      </c>
      <c r="L209" s="51">
        <v>2</v>
      </c>
      <c r="M209" s="49">
        <v>0.15727520435967302</v>
      </c>
      <c r="O209" s="52">
        <v>1895.0023739613919</v>
      </c>
      <c r="P209" s="50">
        <v>452.00237396139187</v>
      </c>
      <c r="Q209" s="48">
        <v>172.27294308739926</v>
      </c>
      <c r="R209" s="48">
        <v>43.068235771849814</v>
      </c>
      <c r="S209" s="48">
        <v>43.068235771849814</v>
      </c>
      <c r="T209" s="53">
        <v>14.356078590616605</v>
      </c>
      <c r="V209" s="52">
        <v>2</v>
      </c>
      <c r="W209" s="48">
        <v>5</v>
      </c>
      <c r="X209" s="48">
        <v>10</v>
      </c>
      <c r="Y209" s="53">
        <v>11</v>
      </c>
      <c r="Z209" s="52">
        <v>7</v>
      </c>
      <c r="AA209" s="48">
        <v>18</v>
      </c>
      <c r="AB209" s="48">
        <v>40</v>
      </c>
      <c r="AC209" s="53">
        <v>44</v>
      </c>
      <c r="AD209" s="20"/>
    </row>
    <row r="210" spans="2:30" x14ac:dyDescent="0.3">
      <c r="B210" s="201"/>
      <c r="C210" s="248"/>
      <c r="D210" s="32" t="s">
        <v>222</v>
      </c>
      <c r="E210" s="33">
        <v>10</v>
      </c>
      <c r="F210" s="34">
        <v>20</v>
      </c>
      <c r="G210" s="35">
        <v>47</v>
      </c>
      <c r="H210" s="36">
        <v>12152</v>
      </c>
      <c r="I210" s="37">
        <v>52</v>
      </c>
      <c r="J210" s="38">
        <v>5.523111668027901E-3</v>
      </c>
      <c r="K210" s="39">
        <v>747</v>
      </c>
      <c r="L210" s="40">
        <v>5</v>
      </c>
      <c r="M210" s="38">
        <v>7.8515871347487914E-2</v>
      </c>
      <c r="O210" s="41">
        <v>980.98875491972262</v>
      </c>
      <c r="P210" s="39">
        <v>233.98875491972262</v>
      </c>
      <c r="Q210" s="37">
        <v>98.098875491972265</v>
      </c>
      <c r="R210" s="37">
        <v>49.049437745986133</v>
      </c>
      <c r="S210" s="37">
        <v>20.872101168504738</v>
      </c>
      <c r="T210" s="42">
        <v>16.349812581995376</v>
      </c>
      <c r="V210" s="41">
        <v>2</v>
      </c>
      <c r="W210" s="37">
        <v>4</v>
      </c>
      <c r="X210" s="37">
        <v>9</v>
      </c>
      <c r="Y210" s="42">
        <v>10</v>
      </c>
      <c r="Z210" s="41">
        <v>3</v>
      </c>
      <c r="AA210" s="37">
        <v>8</v>
      </c>
      <c r="AB210" s="37">
        <v>18</v>
      </c>
      <c r="AC210" s="42">
        <v>20</v>
      </c>
      <c r="AD210" s="20"/>
    </row>
    <row r="211" spans="2:30" s="65" customFormat="1" x14ac:dyDescent="0.3">
      <c r="B211" s="201"/>
      <c r="C211" s="249"/>
      <c r="D211" s="55" t="s">
        <v>27</v>
      </c>
      <c r="E211" s="56">
        <v>66</v>
      </c>
      <c r="F211" s="57">
        <v>203</v>
      </c>
      <c r="G211" s="58">
        <v>289</v>
      </c>
      <c r="H211" s="59">
        <v>76931</v>
      </c>
      <c r="I211" s="60">
        <v>13</v>
      </c>
      <c r="J211" s="61">
        <v>3.4965314658743786E-2</v>
      </c>
      <c r="K211" s="62">
        <f>SUM(K203:K210)</f>
        <v>5894</v>
      </c>
      <c r="L211" s="63">
        <v>4</v>
      </c>
      <c r="M211" s="64">
        <v>9.4075209091489503E-2</v>
      </c>
      <c r="O211" s="66">
        <v>7740.224526769538</v>
      </c>
      <c r="P211" s="62">
        <v>1846.224526769538</v>
      </c>
      <c r="Q211" s="67">
        <v>117.27612919347784</v>
      </c>
      <c r="R211" s="67">
        <v>38.129184860933684</v>
      </c>
      <c r="S211" s="67">
        <v>26.782783829652381</v>
      </c>
      <c r="T211" s="68">
        <v>12.709728286977894</v>
      </c>
      <c r="V211" s="86">
        <v>13</v>
      </c>
      <c r="W211" s="67">
        <v>30</v>
      </c>
      <c r="X211" s="67">
        <v>63</v>
      </c>
      <c r="Y211" s="68">
        <v>66</v>
      </c>
      <c r="Z211" s="86">
        <v>33</v>
      </c>
      <c r="AA211" s="67">
        <v>83</v>
      </c>
      <c r="AB211" s="67">
        <v>185</v>
      </c>
      <c r="AC211" s="68">
        <v>203</v>
      </c>
      <c r="AD211" s="54"/>
    </row>
    <row r="212" spans="2:30" s="65" customFormat="1" x14ac:dyDescent="0.3">
      <c r="B212" s="201"/>
      <c r="C212" s="250" t="s">
        <v>223</v>
      </c>
      <c r="D212" s="21" t="s">
        <v>224</v>
      </c>
      <c r="E212" s="22">
        <v>13</v>
      </c>
      <c r="F212" s="23">
        <v>53</v>
      </c>
      <c r="G212" s="24">
        <v>62</v>
      </c>
      <c r="H212" s="25">
        <v>16443</v>
      </c>
      <c r="I212" s="26">
        <v>37</v>
      </c>
      <c r="J212" s="27">
        <v>7.4733809379018083E-3</v>
      </c>
      <c r="K212" s="28">
        <v>903</v>
      </c>
      <c r="L212" s="29">
        <v>5</v>
      </c>
      <c r="M212" s="27">
        <v>8.0259532486001248E-2</v>
      </c>
      <c r="N212"/>
      <c r="O212" s="30">
        <v>1185.8538764290622</v>
      </c>
      <c r="P212" s="28">
        <v>282.85387642906221</v>
      </c>
      <c r="Q212" s="26">
        <v>91.219528956081703</v>
      </c>
      <c r="R212" s="26">
        <v>22.374601442057777</v>
      </c>
      <c r="S212" s="26">
        <v>19.126675426275195</v>
      </c>
      <c r="T212" s="31">
        <v>7.4582004806859254</v>
      </c>
      <c r="U212"/>
      <c r="V212" s="30">
        <v>2</v>
      </c>
      <c r="W212" s="26">
        <v>6</v>
      </c>
      <c r="X212" s="26">
        <v>12</v>
      </c>
      <c r="Y212" s="31">
        <v>13</v>
      </c>
      <c r="Z212" s="30">
        <v>8</v>
      </c>
      <c r="AA212" s="26">
        <v>22</v>
      </c>
      <c r="AB212" s="26">
        <v>48</v>
      </c>
      <c r="AC212" s="31">
        <v>53</v>
      </c>
      <c r="AD212" s="54"/>
    </row>
    <row r="213" spans="2:30" x14ac:dyDescent="0.3">
      <c r="B213" s="201"/>
      <c r="C213" s="248"/>
      <c r="D213" s="32" t="s">
        <v>225</v>
      </c>
      <c r="E213" s="33">
        <v>5</v>
      </c>
      <c r="F213" s="34">
        <v>10</v>
      </c>
      <c r="G213" s="35">
        <v>26</v>
      </c>
      <c r="H213" s="36">
        <v>6181</v>
      </c>
      <c r="I213" s="37">
        <v>121</v>
      </c>
      <c r="J213" s="38">
        <v>2.809278573081012E-3</v>
      </c>
      <c r="K213" s="39">
        <v>984</v>
      </c>
      <c r="L213" s="40">
        <v>2</v>
      </c>
      <c r="M213" s="38">
        <v>0.19834710743801653</v>
      </c>
      <c r="O213" s="41">
        <v>1292.2261510589117</v>
      </c>
      <c r="P213" s="39">
        <v>308.22615105891168</v>
      </c>
      <c r="Q213" s="37">
        <v>258.44523021178236</v>
      </c>
      <c r="R213" s="37">
        <v>129.22261510589118</v>
      </c>
      <c r="S213" s="37">
        <v>49.70100580995814</v>
      </c>
      <c r="T213" s="42">
        <v>43.074205035297062</v>
      </c>
      <c r="V213" s="41">
        <v>1</v>
      </c>
      <c r="W213" s="37">
        <v>2</v>
      </c>
      <c r="X213" s="37">
        <v>5</v>
      </c>
      <c r="Y213" s="42">
        <v>5</v>
      </c>
      <c r="Z213" s="41">
        <v>2</v>
      </c>
      <c r="AA213" s="37">
        <v>4</v>
      </c>
      <c r="AB213" s="37">
        <v>9</v>
      </c>
      <c r="AC213" s="42">
        <v>10</v>
      </c>
      <c r="AD213" s="20"/>
    </row>
    <row r="214" spans="2:30" x14ac:dyDescent="0.3">
      <c r="B214" s="201"/>
      <c r="C214" s="248"/>
      <c r="D214" s="43" t="s">
        <v>226</v>
      </c>
      <c r="E214" s="44">
        <v>10</v>
      </c>
      <c r="F214" s="45">
        <v>49</v>
      </c>
      <c r="G214" s="46">
        <v>109</v>
      </c>
      <c r="H214" s="47">
        <v>25894</v>
      </c>
      <c r="I214" s="48">
        <v>18</v>
      </c>
      <c r="J214" s="49">
        <v>1.176888195621416E-2</v>
      </c>
      <c r="K214" s="50">
        <v>3092</v>
      </c>
      <c r="L214" s="51">
        <v>2</v>
      </c>
      <c r="M214" s="49">
        <v>0.14724510690985285</v>
      </c>
      <c r="O214" s="52">
        <v>4060.5317673517839</v>
      </c>
      <c r="P214" s="50">
        <v>968.53176735178386</v>
      </c>
      <c r="Q214" s="48">
        <v>406.0531767351784</v>
      </c>
      <c r="R214" s="48">
        <v>82.867995252077222</v>
      </c>
      <c r="S214" s="48">
        <v>37.252585021575996</v>
      </c>
      <c r="T214" s="53">
        <v>27.622665084025741</v>
      </c>
      <c r="V214" s="52">
        <v>2</v>
      </c>
      <c r="W214" s="48">
        <v>4</v>
      </c>
      <c r="X214" s="48">
        <v>9</v>
      </c>
      <c r="Y214" s="53">
        <v>10</v>
      </c>
      <c r="Z214" s="52">
        <v>8</v>
      </c>
      <c r="AA214" s="48">
        <v>20</v>
      </c>
      <c r="AB214" s="48">
        <v>45</v>
      </c>
      <c r="AC214" s="53">
        <v>49</v>
      </c>
      <c r="AD214" s="20"/>
    </row>
    <row r="215" spans="2:30" x14ac:dyDescent="0.3">
      <c r="B215" s="201"/>
      <c r="C215" s="248"/>
      <c r="D215" s="32" t="s">
        <v>227</v>
      </c>
      <c r="E215" s="33">
        <v>3</v>
      </c>
      <c r="F215" s="34">
        <v>15</v>
      </c>
      <c r="G215" s="35">
        <v>23</v>
      </c>
      <c r="H215" s="36">
        <v>6278</v>
      </c>
      <c r="I215" s="37">
        <v>117</v>
      </c>
      <c r="J215" s="38">
        <v>2.8533652939334402E-3</v>
      </c>
      <c r="K215" s="39">
        <v>339</v>
      </c>
      <c r="L215" s="40">
        <v>7</v>
      </c>
      <c r="M215" s="38">
        <v>7.3440207972270369E-2</v>
      </c>
      <c r="O215" s="41">
        <v>445.18766789529582</v>
      </c>
      <c r="P215" s="39">
        <v>106.18766789529582</v>
      </c>
      <c r="Q215" s="37">
        <v>148.39588929843194</v>
      </c>
      <c r="R215" s="37">
        <v>29.679177859686387</v>
      </c>
      <c r="S215" s="37">
        <v>19.355985560665037</v>
      </c>
      <c r="T215" s="42">
        <v>9.8930592865621296</v>
      </c>
      <c r="V215" s="41">
        <v>1</v>
      </c>
      <c r="W215" s="37">
        <v>2</v>
      </c>
      <c r="X215" s="37">
        <v>3</v>
      </c>
      <c r="Y215" s="42">
        <v>3</v>
      </c>
      <c r="Z215" s="41">
        <v>3</v>
      </c>
      <c r="AA215" s="37">
        <v>6</v>
      </c>
      <c r="AB215" s="37">
        <v>14</v>
      </c>
      <c r="AC215" s="42">
        <v>15</v>
      </c>
      <c r="AD215" s="20"/>
    </row>
    <row r="216" spans="2:30" x14ac:dyDescent="0.3">
      <c r="B216" s="201"/>
      <c r="C216" s="248"/>
      <c r="D216" s="43" t="s">
        <v>228</v>
      </c>
      <c r="E216" s="44">
        <v>27</v>
      </c>
      <c r="F216" s="45">
        <v>103</v>
      </c>
      <c r="G216" s="46">
        <v>91</v>
      </c>
      <c r="H216" s="47">
        <v>22751</v>
      </c>
      <c r="I216" s="48">
        <v>22</v>
      </c>
      <c r="J216" s="49">
        <v>1.0340381300140124E-2</v>
      </c>
      <c r="K216" s="50">
        <v>2867</v>
      </c>
      <c r="L216" s="51">
        <v>4</v>
      </c>
      <c r="M216" s="49">
        <v>0.13908023673231784</v>
      </c>
      <c r="O216" s="52">
        <v>3765.0532267133131</v>
      </c>
      <c r="P216" s="50">
        <v>898.05322671331305</v>
      </c>
      <c r="Q216" s="48">
        <v>139.44641580419679</v>
      </c>
      <c r="R216" s="48">
        <v>36.553914822459348</v>
      </c>
      <c r="S216" s="48">
        <v>41.374211282563877</v>
      </c>
      <c r="T216" s="53">
        <v>12.184638274153116</v>
      </c>
      <c r="V216" s="52">
        <v>5</v>
      </c>
      <c r="W216" s="48">
        <v>11</v>
      </c>
      <c r="X216" s="48">
        <v>25</v>
      </c>
      <c r="Y216" s="53">
        <v>27</v>
      </c>
      <c r="Z216" s="52">
        <v>16</v>
      </c>
      <c r="AA216" s="48">
        <v>42</v>
      </c>
      <c r="AB216" s="48">
        <v>93</v>
      </c>
      <c r="AC216" s="53">
        <v>103</v>
      </c>
      <c r="AD216" s="20"/>
    </row>
    <row r="217" spans="2:30" x14ac:dyDescent="0.3">
      <c r="B217" s="201"/>
      <c r="C217" s="248"/>
      <c r="D217" s="32" t="s">
        <v>229</v>
      </c>
      <c r="E217" s="33">
        <v>12</v>
      </c>
      <c r="F217" s="34">
        <v>56</v>
      </c>
      <c r="G217" s="35">
        <v>64</v>
      </c>
      <c r="H217" s="36">
        <v>17013</v>
      </c>
      <c r="I217" s="37">
        <v>32</v>
      </c>
      <c r="J217" s="38">
        <v>7.7324472356944274E-3</v>
      </c>
      <c r="K217" s="39">
        <v>3226</v>
      </c>
      <c r="L217" s="40">
        <v>1</v>
      </c>
      <c r="M217" s="38">
        <v>0.24441245548905219</v>
      </c>
      <c r="O217" s="41">
        <v>4236.5056537764731</v>
      </c>
      <c r="P217" s="39">
        <v>1010.5056537764731</v>
      </c>
      <c r="Q217" s="37">
        <v>353.04213781470611</v>
      </c>
      <c r="R217" s="37">
        <v>75.65188667457987</v>
      </c>
      <c r="S217" s="37">
        <v>66.195400840257392</v>
      </c>
      <c r="T217" s="42">
        <v>25.217295558193289</v>
      </c>
      <c r="V217" s="41">
        <v>2</v>
      </c>
      <c r="W217" s="37">
        <v>5</v>
      </c>
      <c r="X217" s="37">
        <v>11</v>
      </c>
      <c r="Y217" s="42">
        <v>12</v>
      </c>
      <c r="Z217" s="41">
        <v>9</v>
      </c>
      <c r="AA217" s="37">
        <v>23</v>
      </c>
      <c r="AB217" s="37">
        <v>51</v>
      </c>
      <c r="AC217" s="42">
        <v>56</v>
      </c>
      <c r="AD217" s="20"/>
    </row>
    <row r="218" spans="2:30" x14ac:dyDescent="0.3">
      <c r="B218" s="201"/>
      <c r="C218" s="248"/>
      <c r="D218" s="43" t="s">
        <v>230</v>
      </c>
      <c r="E218" s="44">
        <v>9</v>
      </c>
      <c r="F218" s="45">
        <v>20</v>
      </c>
      <c r="G218" s="46">
        <v>56</v>
      </c>
      <c r="H218" s="47">
        <v>14022</v>
      </c>
      <c r="I218" s="48">
        <v>45</v>
      </c>
      <c r="J218" s="49">
        <v>6.3730309256984224E-3</v>
      </c>
      <c r="K218" s="50">
        <v>714</v>
      </c>
      <c r="L218" s="51">
        <v>5</v>
      </c>
      <c r="M218" s="49">
        <v>6.6381554481219782E-2</v>
      </c>
      <c r="O218" s="52">
        <v>937.65190229274697</v>
      </c>
      <c r="P218" s="50">
        <v>223.65190229274697</v>
      </c>
      <c r="Q218" s="48">
        <v>104.1835446991941</v>
      </c>
      <c r="R218" s="48">
        <v>46.882595114637347</v>
      </c>
      <c r="S218" s="48">
        <v>16.743783969513338</v>
      </c>
      <c r="T218" s="53">
        <v>15.627531704879116</v>
      </c>
      <c r="V218" s="52">
        <v>2</v>
      </c>
      <c r="W218" s="48">
        <v>4</v>
      </c>
      <c r="X218" s="48">
        <v>9</v>
      </c>
      <c r="Y218" s="53">
        <v>9</v>
      </c>
      <c r="Z218" s="52">
        <v>3</v>
      </c>
      <c r="AA218" s="48">
        <v>8</v>
      </c>
      <c r="AB218" s="48">
        <v>18</v>
      </c>
      <c r="AC218" s="53">
        <v>20</v>
      </c>
      <c r="AD218" s="20"/>
    </row>
    <row r="219" spans="2:30" x14ac:dyDescent="0.3">
      <c r="B219" s="201"/>
      <c r="C219" s="248"/>
      <c r="D219" s="32" t="s">
        <v>231</v>
      </c>
      <c r="E219" s="33">
        <v>20</v>
      </c>
      <c r="F219" s="34">
        <v>63</v>
      </c>
      <c r="G219" s="35">
        <v>67</v>
      </c>
      <c r="H219" s="36">
        <v>16882</v>
      </c>
      <c r="I219" s="37">
        <v>33</v>
      </c>
      <c r="J219" s="38">
        <v>7.6729074374298082E-3</v>
      </c>
      <c r="K219" s="39">
        <v>2178</v>
      </c>
      <c r="L219" s="40">
        <v>2</v>
      </c>
      <c r="M219" s="38">
        <v>0.15931533903884135</v>
      </c>
      <c r="O219" s="41">
        <v>2860.2322733803962</v>
      </c>
      <c r="P219" s="39">
        <v>682.23227338039624</v>
      </c>
      <c r="Q219" s="37">
        <v>143.01161366901982</v>
      </c>
      <c r="R219" s="37">
        <v>45.400512275879308</v>
      </c>
      <c r="S219" s="37">
        <v>42.690033931050692</v>
      </c>
      <c r="T219" s="42">
        <v>15.13350409195977</v>
      </c>
      <c r="V219" s="41">
        <v>3</v>
      </c>
      <c r="W219" s="37">
        <v>8</v>
      </c>
      <c r="X219" s="37">
        <v>18</v>
      </c>
      <c r="Y219" s="42">
        <v>20</v>
      </c>
      <c r="Z219" s="41">
        <v>10</v>
      </c>
      <c r="AA219" s="37">
        <v>26</v>
      </c>
      <c r="AB219" s="37">
        <v>57</v>
      </c>
      <c r="AC219" s="42">
        <v>63</v>
      </c>
      <c r="AD219" s="20"/>
    </row>
    <row r="220" spans="2:30" s="65" customFormat="1" x14ac:dyDescent="0.3">
      <c r="B220" s="201"/>
      <c r="C220" s="248"/>
      <c r="D220" s="43" t="s">
        <v>232</v>
      </c>
      <c r="E220" s="44">
        <v>6</v>
      </c>
      <c r="F220" s="45">
        <v>14</v>
      </c>
      <c r="G220" s="46">
        <v>29</v>
      </c>
      <c r="H220" s="47">
        <v>7178</v>
      </c>
      <c r="I220" s="48">
        <v>100</v>
      </c>
      <c r="J220" s="49">
        <v>3.2624173430796802E-3</v>
      </c>
      <c r="K220" s="50">
        <v>361</v>
      </c>
      <c r="L220" s="51">
        <v>7</v>
      </c>
      <c r="M220" s="49">
        <v>6.0621326616288836E-2</v>
      </c>
      <c r="N220"/>
      <c r="O220" s="52">
        <v>474.07890297994629</v>
      </c>
      <c r="P220" s="50">
        <v>113.07890297994629</v>
      </c>
      <c r="Q220" s="48">
        <v>79.013150496657715</v>
      </c>
      <c r="R220" s="48">
        <v>33.862778784281879</v>
      </c>
      <c r="S220" s="48">
        <v>16.347548378618839</v>
      </c>
      <c r="T220" s="53">
        <v>11.287592928093959</v>
      </c>
      <c r="U220"/>
      <c r="V220" s="52">
        <v>1</v>
      </c>
      <c r="W220" s="48">
        <v>3</v>
      </c>
      <c r="X220" s="48">
        <v>6</v>
      </c>
      <c r="Y220" s="53">
        <v>6</v>
      </c>
      <c r="Z220" s="52">
        <v>3</v>
      </c>
      <c r="AA220" s="48">
        <v>6</v>
      </c>
      <c r="AB220" s="48">
        <v>13</v>
      </c>
      <c r="AC220" s="53">
        <v>14</v>
      </c>
      <c r="AD220" s="54"/>
    </row>
    <row r="221" spans="2:30" x14ac:dyDescent="0.3">
      <c r="B221" s="201"/>
      <c r="C221" s="248"/>
      <c r="D221" s="32" t="s">
        <v>233</v>
      </c>
      <c r="E221" s="33">
        <v>16</v>
      </c>
      <c r="F221" s="34">
        <v>51</v>
      </c>
      <c r="G221" s="35">
        <v>56</v>
      </c>
      <c r="H221" s="36">
        <v>15075</v>
      </c>
      <c r="I221" s="37">
        <v>41</v>
      </c>
      <c r="J221" s="38">
        <v>6.8516218231995229E-3</v>
      </c>
      <c r="K221" s="39">
        <v>2329</v>
      </c>
      <c r="L221" s="40">
        <v>1</v>
      </c>
      <c r="M221" s="38">
        <v>0.18718855489471145</v>
      </c>
      <c r="O221" s="41">
        <v>3058.53120509777</v>
      </c>
      <c r="P221" s="39">
        <v>729.53120509777</v>
      </c>
      <c r="Q221" s="37">
        <v>191.15820031861062</v>
      </c>
      <c r="R221" s="37">
        <v>59.971200099956278</v>
      </c>
      <c r="S221" s="37">
        <v>54.61662866246018</v>
      </c>
      <c r="T221" s="42">
        <v>19.99040003331876</v>
      </c>
      <c r="V221" s="41">
        <v>3</v>
      </c>
      <c r="W221" s="37">
        <v>7</v>
      </c>
      <c r="X221" s="37">
        <v>15</v>
      </c>
      <c r="Y221" s="42">
        <v>16</v>
      </c>
      <c r="Z221" s="41">
        <v>8</v>
      </c>
      <c r="AA221" s="37">
        <v>21</v>
      </c>
      <c r="AB221" s="37">
        <v>46</v>
      </c>
      <c r="AC221" s="42">
        <v>51</v>
      </c>
      <c r="AD221" s="20"/>
    </row>
    <row r="222" spans="2:30" x14ac:dyDescent="0.3">
      <c r="B222" s="201"/>
      <c r="C222" s="248"/>
      <c r="D222" s="43" t="s">
        <v>234</v>
      </c>
      <c r="E222" s="44">
        <v>4</v>
      </c>
      <c r="F222" s="45">
        <v>8</v>
      </c>
      <c r="G222" s="46">
        <v>21</v>
      </c>
      <c r="H222" s="47">
        <v>5179</v>
      </c>
      <c r="I222" s="48">
        <v>141</v>
      </c>
      <c r="J222" s="49">
        <v>2.3538672916981977E-3</v>
      </c>
      <c r="K222" s="50">
        <v>129</v>
      </c>
      <c r="L222" s="51">
        <v>4</v>
      </c>
      <c r="M222" s="49">
        <v>2.8301886792452831E-2</v>
      </c>
      <c r="O222" s="52">
        <v>169.40769663272317</v>
      </c>
      <c r="P222" s="50">
        <v>40.407696632723173</v>
      </c>
      <c r="Q222" s="48">
        <v>42.351924158180793</v>
      </c>
      <c r="R222" s="48">
        <v>21.175962079090397</v>
      </c>
      <c r="S222" s="48">
        <v>8.0670331729868181</v>
      </c>
      <c r="T222" s="53">
        <v>7.0586540263634658</v>
      </c>
      <c r="V222" s="52">
        <v>1</v>
      </c>
      <c r="W222" s="48">
        <v>2</v>
      </c>
      <c r="X222" s="48">
        <v>4</v>
      </c>
      <c r="Y222" s="53">
        <v>4</v>
      </c>
      <c r="Z222" s="52">
        <v>2</v>
      </c>
      <c r="AA222" s="48">
        <v>4</v>
      </c>
      <c r="AB222" s="48">
        <v>8</v>
      </c>
      <c r="AC222" s="53">
        <v>8</v>
      </c>
      <c r="AD222" s="20"/>
    </row>
    <row r="223" spans="2:30" x14ac:dyDescent="0.3">
      <c r="B223" s="201"/>
      <c r="C223" s="251"/>
      <c r="D223" s="75" t="s">
        <v>27</v>
      </c>
      <c r="E223" s="76">
        <v>125</v>
      </c>
      <c r="F223" s="77">
        <v>442</v>
      </c>
      <c r="G223" s="78">
        <v>604</v>
      </c>
      <c r="H223" s="79">
        <v>152896</v>
      </c>
      <c r="I223" s="80">
        <v>4</v>
      </c>
      <c r="J223" s="81">
        <v>6.9491580118070606E-2</v>
      </c>
      <c r="K223" s="82">
        <f>SUM(K212:K222)</f>
        <v>17122</v>
      </c>
      <c r="L223" s="83">
        <v>2</v>
      </c>
      <c r="M223" s="84">
        <v>0.1391783583424103</v>
      </c>
      <c r="N223" s="65"/>
      <c r="O223" s="85">
        <v>22485.260323608421</v>
      </c>
      <c r="P223" s="82">
        <v>5363.2603236084224</v>
      </c>
      <c r="Q223" s="70">
        <v>179.88208258886738</v>
      </c>
      <c r="R223" s="70">
        <v>50.871629691421766</v>
      </c>
      <c r="S223" s="70">
        <v>37.227252191404673</v>
      </c>
      <c r="T223" s="71">
        <v>16.95720989714059</v>
      </c>
      <c r="U223" s="65"/>
      <c r="V223" s="69">
        <v>23</v>
      </c>
      <c r="W223" s="70">
        <v>54</v>
      </c>
      <c r="X223" s="70">
        <v>117</v>
      </c>
      <c r="Y223" s="71">
        <v>125</v>
      </c>
      <c r="Z223" s="69">
        <v>72</v>
      </c>
      <c r="AA223" s="70">
        <v>182</v>
      </c>
      <c r="AB223" s="70">
        <v>402</v>
      </c>
      <c r="AC223" s="71">
        <v>442</v>
      </c>
      <c r="AD223" s="20"/>
    </row>
    <row r="224" spans="2:30" x14ac:dyDescent="0.3">
      <c r="B224" s="202"/>
      <c r="C224" s="252" t="s">
        <v>235</v>
      </c>
      <c r="D224" s="253"/>
      <c r="E224" s="95">
        <v>278</v>
      </c>
      <c r="F224" s="96">
        <v>1022</v>
      </c>
      <c r="G224" s="97">
        <v>1319</v>
      </c>
      <c r="H224" s="98">
        <v>342375</v>
      </c>
      <c r="I224" s="99">
        <v>2</v>
      </c>
      <c r="J224" s="100">
        <v>0.15561021702938221</v>
      </c>
      <c r="K224" s="101">
        <f>K202+K211+K223</f>
        <v>32014</v>
      </c>
      <c r="L224" s="102">
        <v>4</v>
      </c>
      <c r="M224" s="103">
        <v>0.11678912001400857</v>
      </c>
      <c r="N224" s="65"/>
      <c r="O224" s="104">
        <v>42042</v>
      </c>
      <c r="P224" s="101">
        <v>10028</v>
      </c>
      <c r="Q224" s="105">
        <v>151.23021582733813</v>
      </c>
      <c r="R224" s="105">
        <v>41.136986301369866</v>
      </c>
      <c r="S224" s="105">
        <v>31.874147081122061</v>
      </c>
      <c r="T224" s="106">
        <v>13.712328767123289</v>
      </c>
      <c r="U224" s="65"/>
      <c r="V224" s="107">
        <v>54</v>
      </c>
      <c r="W224" s="105">
        <v>121</v>
      </c>
      <c r="X224" s="105">
        <v>262</v>
      </c>
      <c r="Y224" s="106">
        <v>278</v>
      </c>
      <c r="Z224" s="107">
        <v>164</v>
      </c>
      <c r="AA224" s="105">
        <v>419</v>
      </c>
      <c r="AB224" s="105">
        <v>930</v>
      </c>
      <c r="AC224" s="106">
        <v>1022</v>
      </c>
      <c r="AD224" s="20"/>
    </row>
    <row r="225" spans="2:30" x14ac:dyDescent="0.3">
      <c r="B225" s="203" t="s">
        <v>244</v>
      </c>
      <c r="C225" s="204"/>
      <c r="D225" s="205"/>
      <c r="E225" s="114">
        <v>2231</v>
      </c>
      <c r="F225" s="115">
        <v>9495</v>
      </c>
      <c r="G225" s="116">
        <v>8417</v>
      </c>
      <c r="H225" s="117">
        <v>2200209</v>
      </c>
      <c r="I225" s="118"/>
      <c r="J225" s="140">
        <v>0.99999999999999978</v>
      </c>
      <c r="K225" s="120">
        <f>K51+K72+K84+K118+K145+K194+K224</f>
        <v>232868</v>
      </c>
      <c r="L225" s="121">
        <v>3</v>
      </c>
      <c r="M225" s="122">
        <v>0.13515671976171073</v>
      </c>
      <c r="N225" s="65"/>
      <c r="O225" s="123">
        <v>350000</v>
      </c>
      <c r="P225" s="120">
        <v>117132</v>
      </c>
      <c r="Q225" s="124">
        <v>156.88032272523532</v>
      </c>
      <c r="R225" s="124">
        <v>36.86150605581885</v>
      </c>
      <c r="S225" s="124">
        <v>41.582511583699656</v>
      </c>
      <c r="T225" s="125">
        <v>12.287168685272951</v>
      </c>
      <c r="U225" s="65"/>
      <c r="V225" s="126">
        <v>416</v>
      </c>
      <c r="W225" s="124">
        <v>973</v>
      </c>
      <c r="X225" s="124">
        <v>2108</v>
      </c>
      <c r="Y225" s="125">
        <v>2231</v>
      </c>
      <c r="Z225" s="126">
        <v>1512</v>
      </c>
      <c r="AA225" s="124">
        <v>3868</v>
      </c>
      <c r="AB225" s="124">
        <v>8627</v>
      </c>
      <c r="AC225" s="125">
        <v>9495</v>
      </c>
      <c r="AD225" s="20"/>
    </row>
    <row r="227" spans="2:30" x14ac:dyDescent="0.3">
      <c r="B227" s="20"/>
      <c r="E227" s="3"/>
      <c r="F227" s="3"/>
      <c r="G227" s="3"/>
      <c r="H227" s="3"/>
      <c r="I227" s="3"/>
      <c r="J227" s="3"/>
      <c r="K227" s="54"/>
      <c r="L227" s="54"/>
      <c r="M227" s="54"/>
      <c r="O227" s="54"/>
      <c r="P227" s="54"/>
      <c r="Q227" s="141"/>
      <c r="R227" s="141"/>
      <c r="S227" s="141"/>
      <c r="T227" s="141"/>
      <c r="AD227" s="20"/>
    </row>
    <row r="228" spans="2:30" ht="30" customHeight="1" x14ac:dyDescent="0.3">
      <c r="B228" s="4"/>
      <c r="C228" s="209" t="s">
        <v>236</v>
      </c>
      <c r="D228" s="212" t="s">
        <v>0</v>
      </c>
      <c r="E228" s="215" t="s">
        <v>2</v>
      </c>
      <c r="F228" s="216"/>
      <c r="G228" s="216"/>
      <c r="H228" s="216"/>
      <c r="I228" s="216"/>
      <c r="J228" s="216"/>
      <c r="K228" s="216"/>
      <c r="L228" s="216"/>
      <c r="M228" s="217"/>
      <c r="O228" s="221" t="s">
        <v>3</v>
      </c>
      <c r="P228" s="222"/>
      <c r="Q228" s="222"/>
      <c r="R228" s="222"/>
      <c r="S228" s="222"/>
      <c r="T228" s="223"/>
      <c r="V228" s="227" t="s">
        <v>4</v>
      </c>
      <c r="W228" s="228"/>
      <c r="X228" s="228"/>
      <c r="Y228" s="228"/>
      <c r="Z228" s="228"/>
      <c r="AA228" s="228"/>
      <c r="AB228" s="228"/>
      <c r="AC228" s="229"/>
      <c r="AD228" s="4"/>
    </row>
    <row r="229" spans="2:30" ht="14.4" customHeight="1" x14ac:dyDescent="0.3">
      <c r="B229" s="5"/>
      <c r="C229" s="210"/>
      <c r="D229" s="213"/>
      <c r="E229" s="218"/>
      <c r="F229" s="219"/>
      <c r="G229" s="219"/>
      <c r="H229" s="219"/>
      <c r="I229" s="219"/>
      <c r="J229" s="219"/>
      <c r="K229" s="219"/>
      <c r="L229" s="219"/>
      <c r="M229" s="220"/>
      <c r="O229" s="224"/>
      <c r="P229" s="225"/>
      <c r="Q229" s="225"/>
      <c r="R229" s="225"/>
      <c r="S229" s="225"/>
      <c r="T229" s="226"/>
      <c r="V229" s="230" t="s">
        <v>5</v>
      </c>
      <c r="W229" s="231"/>
      <c r="X229" s="231"/>
      <c r="Y229" s="232"/>
      <c r="Z229" s="230" t="s">
        <v>6</v>
      </c>
      <c r="AA229" s="231"/>
      <c r="AB229" s="231"/>
      <c r="AC229" s="232"/>
      <c r="AD229" s="5"/>
    </row>
    <row r="230" spans="2:30" ht="14.4" customHeight="1" x14ac:dyDescent="0.3">
      <c r="B230" s="5"/>
      <c r="C230" s="210"/>
      <c r="D230" s="213"/>
      <c r="E230" s="233" t="s">
        <v>7</v>
      </c>
      <c r="F230" s="234"/>
      <c r="G230" s="235" t="s">
        <v>8</v>
      </c>
      <c r="H230" s="237" t="s">
        <v>9</v>
      </c>
      <c r="I230" s="238"/>
      <c r="J230" s="239"/>
      <c r="K230" s="240" t="s">
        <v>10</v>
      </c>
      <c r="L230" s="241"/>
      <c r="M230" s="242"/>
      <c r="O230" s="243" t="s">
        <v>11</v>
      </c>
      <c r="P230" s="244"/>
      <c r="Q230" s="245" t="s">
        <v>12</v>
      </c>
      <c r="R230" s="245"/>
      <c r="S230" s="245"/>
      <c r="T230" s="246"/>
      <c r="V230" s="6">
        <v>2026</v>
      </c>
      <c r="W230" s="7">
        <v>2027</v>
      </c>
      <c r="X230" s="7">
        <v>2028</v>
      </c>
      <c r="Y230" s="8">
        <v>2029</v>
      </c>
      <c r="Z230" s="6">
        <v>2026</v>
      </c>
      <c r="AA230" s="7">
        <v>2027</v>
      </c>
      <c r="AB230" s="7">
        <v>2028</v>
      </c>
      <c r="AC230" s="8">
        <v>2029</v>
      </c>
      <c r="AD230" s="5"/>
    </row>
    <row r="231" spans="2:30" x14ac:dyDescent="0.3">
      <c r="B231" s="9"/>
      <c r="C231" s="211"/>
      <c r="D231" s="214"/>
      <c r="E231" s="10" t="s">
        <v>13</v>
      </c>
      <c r="F231" s="11" t="s">
        <v>14</v>
      </c>
      <c r="G231" s="236"/>
      <c r="H231" s="12" t="s">
        <v>15</v>
      </c>
      <c r="I231" s="13" t="s">
        <v>16</v>
      </c>
      <c r="J231" s="14" t="s">
        <v>17</v>
      </c>
      <c r="K231" s="15" t="s">
        <v>18</v>
      </c>
      <c r="L231" s="13" t="s">
        <v>16</v>
      </c>
      <c r="M231" s="14" t="s">
        <v>17</v>
      </c>
      <c r="O231" s="12" t="s">
        <v>18</v>
      </c>
      <c r="P231" s="15" t="s">
        <v>19</v>
      </c>
      <c r="Q231" s="13" t="s">
        <v>13</v>
      </c>
      <c r="R231" s="13" t="s">
        <v>14</v>
      </c>
      <c r="S231" s="13" t="s">
        <v>8</v>
      </c>
      <c r="T231" s="16" t="s">
        <v>20</v>
      </c>
      <c r="V231" s="17">
        <v>0.15</v>
      </c>
      <c r="W231" s="18">
        <v>0.4</v>
      </c>
      <c r="X231" s="18">
        <v>0.9</v>
      </c>
      <c r="Y231" s="19">
        <v>1</v>
      </c>
      <c r="Z231" s="17">
        <v>0.15</v>
      </c>
      <c r="AA231" s="18">
        <v>0.4</v>
      </c>
      <c r="AB231" s="18">
        <v>0.9</v>
      </c>
      <c r="AC231" s="19">
        <v>1</v>
      </c>
      <c r="AD231" s="9"/>
    </row>
    <row r="232" spans="2:30" x14ac:dyDescent="0.3">
      <c r="B232" s="20"/>
      <c r="C232" s="250" t="s">
        <v>237</v>
      </c>
      <c r="D232" s="21" t="s">
        <v>21</v>
      </c>
      <c r="E232" s="30">
        <v>36</v>
      </c>
      <c r="F232" s="31">
        <v>84</v>
      </c>
      <c r="G232" s="24">
        <v>85</v>
      </c>
      <c r="H232" s="30">
        <v>21525</v>
      </c>
      <c r="I232" s="26">
        <v>23</v>
      </c>
      <c r="J232" s="27">
        <v>9.7831615087475773E-3</v>
      </c>
      <c r="K232" s="142">
        <v>1050</v>
      </c>
      <c r="L232" s="143">
        <v>5</v>
      </c>
      <c r="M232" s="27">
        <v>6.0279005683449106E-2</v>
      </c>
      <c r="O232" s="144">
        <v>1333.0892988929888</v>
      </c>
      <c r="P232" s="142">
        <v>283.08929889298895</v>
      </c>
      <c r="Q232" s="143">
        <v>37.030258302583022</v>
      </c>
      <c r="R232" s="143">
        <v>15.870110701107009</v>
      </c>
      <c r="S232" s="143">
        <v>15.683403516388104</v>
      </c>
      <c r="T232" s="145">
        <v>5.2900369003690031</v>
      </c>
      <c r="V232" s="30">
        <v>6</v>
      </c>
      <c r="W232" s="26">
        <v>18</v>
      </c>
      <c r="X232" s="26">
        <v>36</v>
      </c>
      <c r="Y232" s="31">
        <v>36</v>
      </c>
      <c r="Z232" s="30">
        <v>15</v>
      </c>
      <c r="AA232" s="26">
        <v>36</v>
      </c>
      <c r="AB232" s="26">
        <v>78</v>
      </c>
      <c r="AC232" s="31">
        <v>84</v>
      </c>
      <c r="AD232" s="20"/>
    </row>
    <row r="233" spans="2:30" x14ac:dyDescent="0.3">
      <c r="B233" s="20"/>
      <c r="C233" s="248"/>
      <c r="D233" s="32" t="s">
        <v>28</v>
      </c>
      <c r="E233" s="41">
        <v>63</v>
      </c>
      <c r="F233" s="42">
        <v>248</v>
      </c>
      <c r="G233" s="35">
        <v>263</v>
      </c>
      <c r="H233" s="41">
        <v>69896</v>
      </c>
      <c r="I233" s="37">
        <v>14</v>
      </c>
      <c r="J233" s="38">
        <v>3.176789114125067E-2</v>
      </c>
      <c r="K233" s="146">
        <v>7813</v>
      </c>
      <c r="L233" s="147">
        <v>2</v>
      </c>
      <c r="M233" s="38">
        <v>0.14273708825839926</v>
      </c>
      <c r="O233" s="148">
        <v>9919.453992619925</v>
      </c>
      <c r="P233" s="146">
        <v>2106.453992619925</v>
      </c>
      <c r="Q233" s="147">
        <v>157.45165067650674</v>
      </c>
      <c r="R233" s="147">
        <v>39.997798357338404</v>
      </c>
      <c r="S233" s="147">
        <v>37.716555105018728</v>
      </c>
      <c r="T233" s="149">
        <v>13.332599452446134</v>
      </c>
      <c r="V233" s="41">
        <v>13</v>
      </c>
      <c r="W233" s="37">
        <v>28</v>
      </c>
      <c r="X233" s="37">
        <v>60</v>
      </c>
      <c r="Y233" s="42">
        <v>63</v>
      </c>
      <c r="Z233" s="41">
        <v>41</v>
      </c>
      <c r="AA233" s="37">
        <v>102</v>
      </c>
      <c r="AB233" s="37">
        <v>227</v>
      </c>
      <c r="AC233" s="42">
        <v>248</v>
      </c>
      <c r="AD233" s="20"/>
    </row>
    <row r="234" spans="2:30" s="65" customFormat="1" x14ac:dyDescent="0.3">
      <c r="B234" s="54"/>
      <c r="C234" s="248"/>
      <c r="D234" s="43" t="s">
        <v>36</v>
      </c>
      <c r="E234" s="52">
        <v>64</v>
      </c>
      <c r="F234" s="53">
        <v>180</v>
      </c>
      <c r="G234" s="46">
        <v>187</v>
      </c>
      <c r="H234" s="52">
        <v>48416</v>
      </c>
      <c r="I234" s="48">
        <v>17</v>
      </c>
      <c r="J234" s="49">
        <v>2.2005182234960407E-2</v>
      </c>
      <c r="K234" s="150">
        <v>5210</v>
      </c>
      <c r="L234" s="151">
        <v>3</v>
      </c>
      <c r="M234" s="49">
        <v>0.13829166003079046</v>
      </c>
      <c r="N234"/>
      <c r="O234" s="152">
        <v>6614.6621402214014</v>
      </c>
      <c r="P234" s="150">
        <v>1404.6621402214014</v>
      </c>
      <c r="Q234" s="151">
        <v>103.3540959409594</v>
      </c>
      <c r="R234" s="151">
        <v>36.748123001230006</v>
      </c>
      <c r="S234" s="151">
        <v>35.372524814018192</v>
      </c>
      <c r="T234" s="153">
        <v>12.249374333743335</v>
      </c>
      <c r="U234"/>
      <c r="V234" s="52">
        <v>13</v>
      </c>
      <c r="W234" s="48">
        <v>28</v>
      </c>
      <c r="X234" s="48">
        <v>61</v>
      </c>
      <c r="Y234" s="53">
        <v>64</v>
      </c>
      <c r="Z234" s="52">
        <v>29</v>
      </c>
      <c r="AA234" s="48">
        <v>74</v>
      </c>
      <c r="AB234" s="48">
        <v>165</v>
      </c>
      <c r="AC234" s="53">
        <v>180</v>
      </c>
      <c r="AD234" s="54"/>
    </row>
    <row r="235" spans="2:30" s="65" customFormat="1" x14ac:dyDescent="0.3">
      <c r="B235" s="54"/>
      <c r="C235" s="248"/>
      <c r="D235" s="32" t="s">
        <v>43</v>
      </c>
      <c r="E235" s="41">
        <v>109</v>
      </c>
      <c r="F235" s="42">
        <v>444</v>
      </c>
      <c r="G235" s="35">
        <v>382</v>
      </c>
      <c r="H235" s="41">
        <v>100489</v>
      </c>
      <c r="I235" s="37">
        <v>9</v>
      </c>
      <c r="J235" s="38">
        <v>4.5672479296285033E-2</v>
      </c>
      <c r="K235" s="146">
        <v>9449</v>
      </c>
      <c r="L235" s="147">
        <v>3</v>
      </c>
      <c r="M235" s="38">
        <v>0.11822777207777584</v>
      </c>
      <c r="N235"/>
      <c r="O235" s="148">
        <v>11996.534081180813</v>
      </c>
      <c r="P235" s="146">
        <v>2547.5340811808128</v>
      </c>
      <c r="Q235" s="147">
        <v>110.05994569890655</v>
      </c>
      <c r="R235" s="147">
        <v>27.019220903560388</v>
      </c>
      <c r="S235" s="147">
        <v>31.404539479530925</v>
      </c>
      <c r="T235" s="149">
        <v>9.0064069678534633</v>
      </c>
      <c r="U235"/>
      <c r="V235" s="41">
        <v>18</v>
      </c>
      <c r="W235" s="37">
        <v>47</v>
      </c>
      <c r="X235" s="37">
        <v>103</v>
      </c>
      <c r="Y235" s="42">
        <v>109</v>
      </c>
      <c r="Z235" s="41">
        <v>70</v>
      </c>
      <c r="AA235" s="37">
        <v>179</v>
      </c>
      <c r="AB235" s="37">
        <v>402</v>
      </c>
      <c r="AC235" s="42">
        <v>444</v>
      </c>
      <c r="AD235" s="54"/>
    </row>
    <row r="236" spans="2:30" s="65" customFormat="1" x14ac:dyDescent="0.3">
      <c r="B236" s="54"/>
      <c r="C236" s="248"/>
      <c r="D236" s="43" t="s">
        <v>52</v>
      </c>
      <c r="E236" s="52">
        <v>146</v>
      </c>
      <c r="F236" s="53">
        <v>617</v>
      </c>
      <c r="G236" s="46">
        <v>417</v>
      </c>
      <c r="H236" s="52">
        <v>111031</v>
      </c>
      <c r="I236" s="48">
        <v>8</v>
      </c>
      <c r="J236" s="49">
        <v>5.0463842298617993E-2</v>
      </c>
      <c r="K236" s="150">
        <v>10353</v>
      </c>
      <c r="L236" s="151">
        <v>4</v>
      </c>
      <c r="M236" s="49">
        <v>0.11359696284754987</v>
      </c>
      <c r="N236"/>
      <c r="O236" s="152">
        <v>13144.260487084872</v>
      </c>
      <c r="P236" s="150">
        <v>2791.2604870848709</v>
      </c>
      <c r="Q236" s="151">
        <v>90.029181418389527</v>
      </c>
      <c r="R236" s="151">
        <v>21.303501599813405</v>
      </c>
      <c r="S236" s="151">
        <v>31.52100836231384</v>
      </c>
      <c r="T236" s="153">
        <v>7.1011671999378017</v>
      </c>
      <c r="U236"/>
      <c r="V236" s="52">
        <v>28</v>
      </c>
      <c r="W236" s="48">
        <v>63</v>
      </c>
      <c r="X236" s="48">
        <v>138</v>
      </c>
      <c r="Y236" s="53">
        <v>146</v>
      </c>
      <c r="Z236" s="52">
        <v>98</v>
      </c>
      <c r="AA236" s="48">
        <v>252</v>
      </c>
      <c r="AB236" s="48">
        <v>559</v>
      </c>
      <c r="AC236" s="53">
        <v>617</v>
      </c>
      <c r="AD236" s="54"/>
    </row>
    <row r="237" spans="2:30" s="65" customFormat="1" x14ac:dyDescent="0.3">
      <c r="C237" s="251"/>
      <c r="D237" s="75" t="s">
        <v>27</v>
      </c>
      <c r="E237" s="69">
        <v>418</v>
      </c>
      <c r="F237" s="71">
        <v>1573</v>
      </c>
      <c r="G237" s="154">
        <v>1334</v>
      </c>
      <c r="H237" s="69">
        <v>351357</v>
      </c>
      <c r="I237" s="70">
        <v>1</v>
      </c>
      <c r="J237" s="84">
        <v>0.15969255647986169</v>
      </c>
      <c r="K237" s="82">
        <v>33875</v>
      </c>
      <c r="L237" s="155">
        <v>3</v>
      </c>
      <c r="M237" s="84">
        <v>0.12059881092242515</v>
      </c>
      <c r="O237" s="85">
        <v>43008</v>
      </c>
      <c r="P237" s="82">
        <v>9132.9999999999982</v>
      </c>
      <c r="Q237" s="155">
        <v>102.88995215311004</v>
      </c>
      <c r="R237" s="155">
        <v>27.341385886840431</v>
      </c>
      <c r="S237" s="155">
        <v>32.239880059970012</v>
      </c>
      <c r="T237" s="156">
        <v>9.1137952956134765</v>
      </c>
      <c r="V237" s="69">
        <v>78</v>
      </c>
      <c r="W237" s="70">
        <v>184</v>
      </c>
      <c r="X237" s="70">
        <v>398</v>
      </c>
      <c r="Y237" s="71">
        <v>418</v>
      </c>
      <c r="Z237" s="69">
        <v>253</v>
      </c>
      <c r="AA237" s="70">
        <v>643</v>
      </c>
      <c r="AB237" s="70">
        <v>1431</v>
      </c>
      <c r="AC237" s="71">
        <v>1573</v>
      </c>
    </row>
    <row r="238" spans="2:30" x14ac:dyDescent="0.3">
      <c r="C238" s="247" t="s">
        <v>238</v>
      </c>
      <c r="D238" s="87" t="s">
        <v>65</v>
      </c>
      <c r="E238" s="72">
        <v>190</v>
      </c>
      <c r="F238" s="74">
        <v>944</v>
      </c>
      <c r="G238" s="90">
        <v>653</v>
      </c>
      <c r="H238" s="72">
        <v>172246</v>
      </c>
      <c r="I238" s="73">
        <v>3</v>
      </c>
      <c r="J238" s="92">
        <v>7.8286199174714771E-2</v>
      </c>
      <c r="K238" s="157">
        <v>22482</v>
      </c>
      <c r="L238" s="158">
        <v>2</v>
      </c>
      <c r="M238" s="92">
        <v>0.16354351558180813</v>
      </c>
      <c r="O238" s="159">
        <v>30465.363154580751</v>
      </c>
      <c r="P238" s="157">
        <v>7983.363154580753</v>
      </c>
      <c r="Q238" s="158">
        <v>160.34401660305659</v>
      </c>
      <c r="R238" s="158">
        <v>32.272630460360965</v>
      </c>
      <c r="S238" s="158">
        <v>46.65446118618798</v>
      </c>
      <c r="T238" s="160">
        <v>10.757543486786988</v>
      </c>
      <c r="V238" s="72">
        <v>32</v>
      </c>
      <c r="W238" s="73">
        <v>79</v>
      </c>
      <c r="X238" s="73">
        <v>173</v>
      </c>
      <c r="Y238" s="74">
        <v>190</v>
      </c>
      <c r="Z238" s="72">
        <v>145</v>
      </c>
      <c r="AA238" s="73">
        <v>380</v>
      </c>
      <c r="AB238" s="73">
        <v>852</v>
      </c>
      <c r="AC238" s="74">
        <v>944</v>
      </c>
    </row>
    <row r="239" spans="2:30" x14ac:dyDescent="0.3">
      <c r="C239" s="248"/>
      <c r="D239" s="32" t="s">
        <v>73</v>
      </c>
      <c r="E239" s="41">
        <v>102</v>
      </c>
      <c r="F239" s="42">
        <v>407</v>
      </c>
      <c r="G239" s="35">
        <v>543</v>
      </c>
      <c r="H239" s="41">
        <v>146241</v>
      </c>
      <c r="I239" s="37">
        <v>5</v>
      </c>
      <c r="J239" s="38">
        <v>6.6466867465772572E-2</v>
      </c>
      <c r="K239" s="146">
        <v>15634.000000000004</v>
      </c>
      <c r="L239" s="147">
        <v>2</v>
      </c>
      <c r="M239" s="38">
        <v>0.13635570750767514</v>
      </c>
      <c r="O239" s="148">
        <v>21185.636845419245</v>
      </c>
      <c r="P239" s="146">
        <v>5551.6368454192452</v>
      </c>
      <c r="Q239" s="147">
        <v>207.70232201391417</v>
      </c>
      <c r="R239" s="147">
        <v>52.053161782356867</v>
      </c>
      <c r="S239" s="147">
        <v>39.01590579266896</v>
      </c>
      <c r="T239" s="149">
        <v>17.351053927452288</v>
      </c>
      <c r="V239" s="41">
        <v>21</v>
      </c>
      <c r="W239" s="37">
        <v>46</v>
      </c>
      <c r="X239" s="37">
        <v>96</v>
      </c>
      <c r="Y239" s="42">
        <v>102</v>
      </c>
      <c r="Z239" s="41">
        <v>67</v>
      </c>
      <c r="AA239" s="37">
        <v>166</v>
      </c>
      <c r="AB239" s="37">
        <v>371</v>
      </c>
      <c r="AC239" s="42">
        <v>407</v>
      </c>
    </row>
    <row r="240" spans="2:30" x14ac:dyDescent="0.3">
      <c r="B240" s="4"/>
      <c r="C240" s="249"/>
      <c r="D240" s="55" t="s">
        <v>27</v>
      </c>
      <c r="E240" s="86">
        <v>292</v>
      </c>
      <c r="F240" s="68">
        <v>1351</v>
      </c>
      <c r="G240" s="161">
        <v>1196</v>
      </c>
      <c r="H240" s="86">
        <v>318487</v>
      </c>
      <c r="I240" s="67">
        <v>4</v>
      </c>
      <c r="J240" s="64">
        <v>0.14475306664048734</v>
      </c>
      <c r="K240" s="62">
        <v>38116</v>
      </c>
      <c r="L240" s="162">
        <v>2</v>
      </c>
      <c r="M240" s="64">
        <v>0.15117957830273993</v>
      </c>
      <c r="N240" s="65"/>
      <c r="O240" s="66">
        <v>51651</v>
      </c>
      <c r="P240" s="62">
        <v>13535</v>
      </c>
      <c r="Q240" s="162">
        <v>176.88698630136986</v>
      </c>
      <c r="R240" s="162">
        <v>38.231680236861585</v>
      </c>
      <c r="S240" s="162">
        <v>43.186454849498325</v>
      </c>
      <c r="T240" s="163">
        <v>12.743893412287195</v>
      </c>
      <c r="U240" s="65"/>
      <c r="V240" s="86">
        <v>53</v>
      </c>
      <c r="W240" s="67">
        <v>125</v>
      </c>
      <c r="X240" s="67">
        <v>269</v>
      </c>
      <c r="Y240" s="68">
        <v>292</v>
      </c>
      <c r="Z240" s="86">
        <v>212</v>
      </c>
      <c r="AA240" s="67">
        <v>546</v>
      </c>
      <c r="AB240" s="67">
        <v>1223</v>
      </c>
      <c r="AC240" s="68">
        <v>1351</v>
      </c>
      <c r="AD240" s="4"/>
    </row>
    <row r="241" spans="2:30" x14ac:dyDescent="0.3">
      <c r="B241" s="5"/>
      <c r="C241" s="250" t="s">
        <v>239</v>
      </c>
      <c r="D241" s="164" t="s">
        <v>86</v>
      </c>
      <c r="E241" s="165">
        <v>225</v>
      </c>
      <c r="F241" s="166">
        <v>1433</v>
      </c>
      <c r="G241" s="167">
        <v>1222</v>
      </c>
      <c r="H241" s="165">
        <v>322525</v>
      </c>
      <c r="I241" s="168">
        <v>1</v>
      </c>
      <c r="J241" s="169">
        <v>0.14658834683432348</v>
      </c>
      <c r="K241" s="170">
        <v>45768</v>
      </c>
      <c r="L241" s="171">
        <v>1</v>
      </c>
      <c r="M241" s="169">
        <v>0.19070476761919047</v>
      </c>
      <c r="O241" s="172">
        <v>49687</v>
      </c>
      <c r="P241" s="170">
        <v>3919</v>
      </c>
      <c r="Q241" s="171">
        <v>220.83111111111111</v>
      </c>
      <c r="R241" s="171">
        <v>34.673412421493367</v>
      </c>
      <c r="S241" s="171">
        <v>40.660392798690673</v>
      </c>
      <c r="T241" s="173">
        <v>11.557804140497788</v>
      </c>
      <c r="V241" s="165">
        <v>37</v>
      </c>
      <c r="W241" s="168">
        <v>94</v>
      </c>
      <c r="X241" s="168">
        <v>209</v>
      </c>
      <c r="Y241" s="166">
        <v>225</v>
      </c>
      <c r="Z241" s="165">
        <v>219</v>
      </c>
      <c r="AA241" s="168">
        <v>578</v>
      </c>
      <c r="AB241" s="168">
        <v>1295</v>
      </c>
      <c r="AC241" s="166">
        <v>1433</v>
      </c>
      <c r="AD241" s="5"/>
    </row>
    <row r="242" spans="2:30" x14ac:dyDescent="0.3">
      <c r="B242" s="9"/>
      <c r="C242" s="251"/>
      <c r="D242" s="75" t="s">
        <v>27</v>
      </c>
      <c r="E242" s="69">
        <v>225</v>
      </c>
      <c r="F242" s="71">
        <v>1433</v>
      </c>
      <c r="G242" s="154">
        <v>1222</v>
      </c>
      <c r="H242" s="69">
        <v>322525</v>
      </c>
      <c r="I242" s="70">
        <v>3</v>
      </c>
      <c r="J242" s="84">
        <v>0.14658834683432348</v>
      </c>
      <c r="K242" s="82">
        <v>45768</v>
      </c>
      <c r="L242" s="155">
        <v>1</v>
      </c>
      <c r="M242" s="84">
        <v>0.19070476761919047</v>
      </c>
      <c r="N242" s="65"/>
      <c r="O242" s="85">
        <v>49687</v>
      </c>
      <c r="P242" s="82">
        <v>3919</v>
      </c>
      <c r="Q242" s="155">
        <v>220.83111111111111</v>
      </c>
      <c r="R242" s="155">
        <v>34.673412421493367</v>
      </c>
      <c r="S242" s="155">
        <v>40.660392798690673</v>
      </c>
      <c r="T242" s="156">
        <v>11.557804140497788</v>
      </c>
      <c r="U242" s="65"/>
      <c r="V242" s="69">
        <v>37</v>
      </c>
      <c r="W242" s="70">
        <v>94</v>
      </c>
      <c r="X242" s="70">
        <v>209</v>
      </c>
      <c r="Y242" s="71">
        <v>225</v>
      </c>
      <c r="Z242" s="69">
        <v>219</v>
      </c>
      <c r="AA242" s="70">
        <v>578</v>
      </c>
      <c r="AB242" s="70">
        <v>1295</v>
      </c>
      <c r="AC242" s="71">
        <v>1433</v>
      </c>
      <c r="AD242" s="9"/>
    </row>
    <row r="243" spans="2:30" x14ac:dyDescent="0.3">
      <c r="B243" s="141"/>
      <c r="C243" s="247" t="s">
        <v>240</v>
      </c>
      <c r="D243" s="87" t="s">
        <v>98</v>
      </c>
      <c r="E243" s="72">
        <v>58</v>
      </c>
      <c r="F243" s="74">
        <v>261</v>
      </c>
      <c r="G243" s="90">
        <v>258</v>
      </c>
      <c r="H243" s="72">
        <v>67892</v>
      </c>
      <c r="I243" s="73">
        <v>15</v>
      </c>
      <c r="J243" s="92">
        <v>3.0857068578485043E-2</v>
      </c>
      <c r="K243" s="157">
        <v>4464</v>
      </c>
      <c r="L243" s="158">
        <v>5</v>
      </c>
      <c r="M243" s="92">
        <v>8.7741022465947283E-2</v>
      </c>
      <c r="O243" s="159">
        <v>9676.6377769432966</v>
      </c>
      <c r="P243" s="157">
        <v>5212.6377769432966</v>
      </c>
      <c r="Q243" s="158">
        <v>166.83858236109131</v>
      </c>
      <c r="R243" s="158">
        <v>37.075240524686961</v>
      </c>
      <c r="S243" s="158">
        <v>37.506347972648435</v>
      </c>
      <c r="T243" s="160">
        <v>12.358413508228987</v>
      </c>
      <c r="V243" s="72">
        <v>11</v>
      </c>
      <c r="W243" s="73">
        <v>27</v>
      </c>
      <c r="X243" s="73">
        <v>56</v>
      </c>
      <c r="Y243" s="74">
        <v>58</v>
      </c>
      <c r="Z243" s="72">
        <v>44</v>
      </c>
      <c r="AA243" s="73">
        <v>108</v>
      </c>
      <c r="AB243" s="73">
        <v>239</v>
      </c>
      <c r="AC243" s="74">
        <v>261</v>
      </c>
      <c r="AD243" s="141"/>
    </row>
    <row r="244" spans="2:30" x14ac:dyDescent="0.3">
      <c r="B244" s="141"/>
      <c r="C244" s="248"/>
      <c r="D244" s="32" t="s">
        <v>106</v>
      </c>
      <c r="E244" s="41">
        <v>84</v>
      </c>
      <c r="F244" s="42">
        <v>187</v>
      </c>
      <c r="G244" s="35">
        <v>142</v>
      </c>
      <c r="H244" s="41">
        <v>38717</v>
      </c>
      <c r="I244" s="37">
        <v>20</v>
      </c>
      <c r="J244" s="38">
        <v>1.7596964651994423E-2</v>
      </c>
      <c r="K244" s="146">
        <v>2452</v>
      </c>
      <c r="L244" s="147">
        <v>6</v>
      </c>
      <c r="M244" s="38">
        <v>8.2434022524794079E-2</v>
      </c>
      <c r="O244" s="148">
        <v>5315.2141194141941</v>
      </c>
      <c r="P244" s="146">
        <v>2863.2141194141946</v>
      </c>
      <c r="Q244" s="147">
        <v>63.276358564454689</v>
      </c>
      <c r="R244" s="147">
        <v>28.423604916653446</v>
      </c>
      <c r="S244" s="147">
        <v>37.431085347987285</v>
      </c>
      <c r="T244" s="149">
        <v>9.4745349722178158</v>
      </c>
      <c r="V244" s="41">
        <v>15</v>
      </c>
      <c r="W244" s="37">
        <v>36</v>
      </c>
      <c r="X244" s="37">
        <v>79</v>
      </c>
      <c r="Y244" s="42">
        <v>84</v>
      </c>
      <c r="Z244" s="41">
        <v>31</v>
      </c>
      <c r="AA244" s="37">
        <v>78</v>
      </c>
      <c r="AB244" s="37">
        <v>171</v>
      </c>
      <c r="AC244" s="42">
        <v>187</v>
      </c>
      <c r="AD244" s="141"/>
    </row>
    <row r="245" spans="2:30" x14ac:dyDescent="0.3">
      <c r="B245" s="141"/>
      <c r="C245" s="248"/>
      <c r="D245" s="43" t="s">
        <v>113</v>
      </c>
      <c r="E245" s="52">
        <v>46</v>
      </c>
      <c r="F245" s="53">
        <v>108</v>
      </c>
      <c r="G245" s="46">
        <v>126</v>
      </c>
      <c r="H245" s="52">
        <v>30696</v>
      </c>
      <c r="I245" s="48">
        <v>21</v>
      </c>
      <c r="J245" s="49">
        <v>1.3951401889547766E-2</v>
      </c>
      <c r="K245" s="150">
        <v>2415</v>
      </c>
      <c r="L245" s="151">
        <v>5</v>
      </c>
      <c r="M245" s="49">
        <v>9.7331936159922625E-2</v>
      </c>
      <c r="O245" s="152">
        <v>5235.009012392039</v>
      </c>
      <c r="P245" s="150">
        <v>2820.009012392039</v>
      </c>
      <c r="Q245" s="151">
        <v>113.80454374765303</v>
      </c>
      <c r="R245" s="151">
        <v>48.472305670296656</v>
      </c>
      <c r="S245" s="151">
        <v>41.547690574539992</v>
      </c>
      <c r="T245" s="153">
        <v>16.15743522343222</v>
      </c>
      <c r="V245" s="52">
        <v>10</v>
      </c>
      <c r="W245" s="48">
        <v>22</v>
      </c>
      <c r="X245" s="48">
        <v>46</v>
      </c>
      <c r="Y245" s="53">
        <v>46</v>
      </c>
      <c r="Z245" s="52">
        <v>19</v>
      </c>
      <c r="AA245" s="48">
        <v>45</v>
      </c>
      <c r="AB245" s="48">
        <v>100</v>
      </c>
      <c r="AC245" s="53">
        <v>108</v>
      </c>
      <c r="AD245" s="141"/>
    </row>
    <row r="246" spans="2:30" x14ac:dyDescent="0.3">
      <c r="B246" s="141"/>
      <c r="C246" s="248"/>
      <c r="D246" s="32" t="s">
        <v>121</v>
      </c>
      <c r="E246" s="41">
        <v>119</v>
      </c>
      <c r="F246" s="42">
        <v>828</v>
      </c>
      <c r="G246" s="35">
        <v>496</v>
      </c>
      <c r="H246" s="41">
        <v>133035</v>
      </c>
      <c r="I246" s="37">
        <v>6</v>
      </c>
      <c r="J246" s="38">
        <v>6.0464710397966741E-2</v>
      </c>
      <c r="K246" s="146">
        <v>17299</v>
      </c>
      <c r="L246" s="147">
        <v>1</v>
      </c>
      <c r="M246" s="38">
        <v>0.16727747425421843</v>
      </c>
      <c r="O246" s="148">
        <v>37499.139091250472</v>
      </c>
      <c r="P246" s="146">
        <v>20200.139091250472</v>
      </c>
      <c r="Q246" s="147">
        <v>315.11881589286111</v>
      </c>
      <c r="R246" s="147">
        <v>45.288815327597192</v>
      </c>
      <c r="S246" s="147">
        <v>75.603103006553368</v>
      </c>
      <c r="T246" s="149">
        <v>15.096271775865731</v>
      </c>
      <c r="V246" s="41">
        <v>21</v>
      </c>
      <c r="W246" s="37">
        <v>51</v>
      </c>
      <c r="X246" s="37">
        <v>112</v>
      </c>
      <c r="Y246" s="42">
        <v>119</v>
      </c>
      <c r="Z246" s="41">
        <v>128</v>
      </c>
      <c r="AA246" s="37">
        <v>334</v>
      </c>
      <c r="AB246" s="37">
        <v>750</v>
      </c>
      <c r="AC246" s="42">
        <v>828</v>
      </c>
      <c r="AD246" s="141"/>
    </row>
    <row r="247" spans="2:30" x14ac:dyDescent="0.3">
      <c r="B247" s="141"/>
      <c r="C247" s="249"/>
      <c r="D247" s="55" t="s">
        <v>27</v>
      </c>
      <c r="E247" s="86">
        <v>307</v>
      </c>
      <c r="F247" s="68">
        <v>1384</v>
      </c>
      <c r="G247" s="161">
        <v>1022</v>
      </c>
      <c r="H247" s="86">
        <v>270340</v>
      </c>
      <c r="I247" s="67">
        <v>7</v>
      </c>
      <c r="J247" s="64">
        <v>0.12287014551799397</v>
      </c>
      <c r="K247" s="62">
        <v>26630</v>
      </c>
      <c r="L247" s="162">
        <v>3</v>
      </c>
      <c r="M247" s="64">
        <v>0.12750839123002744</v>
      </c>
      <c r="N247" s="65"/>
      <c r="O247" s="66">
        <v>57726</v>
      </c>
      <c r="P247" s="62">
        <v>31096</v>
      </c>
      <c r="Q247" s="162">
        <v>188.03257328990227</v>
      </c>
      <c r="R247" s="162">
        <v>41.709537572254334</v>
      </c>
      <c r="S247" s="162">
        <v>56.483365949119374</v>
      </c>
      <c r="T247" s="163">
        <v>13.903179190751445</v>
      </c>
      <c r="U247" s="65"/>
      <c r="V247" s="86">
        <v>57</v>
      </c>
      <c r="W247" s="67">
        <v>136</v>
      </c>
      <c r="X247" s="67">
        <v>293</v>
      </c>
      <c r="Y247" s="68">
        <v>307</v>
      </c>
      <c r="Z247" s="86">
        <v>222</v>
      </c>
      <c r="AA247" s="67">
        <v>565</v>
      </c>
      <c r="AB247" s="67">
        <v>1260</v>
      </c>
      <c r="AC247" s="68">
        <v>1384</v>
      </c>
      <c r="AD247" s="141"/>
    </row>
    <row r="248" spans="2:30" s="65" customFormat="1" x14ac:dyDescent="0.3">
      <c r="B248" s="54"/>
      <c r="C248" s="250" t="s">
        <v>241</v>
      </c>
      <c r="D248" s="21" t="s">
        <v>131</v>
      </c>
      <c r="E248" s="30">
        <v>189</v>
      </c>
      <c r="F248" s="31">
        <v>1090</v>
      </c>
      <c r="G248" s="24">
        <v>707</v>
      </c>
      <c r="H248" s="30">
        <v>180903</v>
      </c>
      <c r="I248" s="26">
        <v>2</v>
      </c>
      <c r="J248" s="27">
        <v>8.2220825385224766E-2</v>
      </c>
      <c r="K248" s="142">
        <v>26288</v>
      </c>
      <c r="L248" s="143">
        <v>1</v>
      </c>
      <c r="M248" s="27">
        <v>0.18622839331255314</v>
      </c>
      <c r="N248"/>
      <c r="O248" s="144">
        <v>39979.428239732988</v>
      </c>
      <c r="P248" s="142">
        <v>13691.428239732988</v>
      </c>
      <c r="Q248" s="143">
        <v>211.53136634779358</v>
      </c>
      <c r="R248" s="143">
        <v>36.678374531865124</v>
      </c>
      <c r="S248" s="143">
        <v>56.54798902366759</v>
      </c>
      <c r="T248" s="145">
        <v>12.226124843955041</v>
      </c>
      <c r="U248"/>
      <c r="V248" s="30">
        <v>32</v>
      </c>
      <c r="W248" s="26">
        <v>78</v>
      </c>
      <c r="X248" s="26">
        <v>175</v>
      </c>
      <c r="Y248" s="31">
        <v>189</v>
      </c>
      <c r="Z248" s="30">
        <v>167</v>
      </c>
      <c r="AA248" s="26">
        <v>439</v>
      </c>
      <c r="AB248" s="26">
        <v>985</v>
      </c>
      <c r="AC248" s="31">
        <v>1090</v>
      </c>
      <c r="AD248" s="54"/>
    </row>
    <row r="249" spans="2:30" x14ac:dyDescent="0.3">
      <c r="B249" s="141"/>
      <c r="C249" s="248"/>
      <c r="D249" s="32" t="s">
        <v>141</v>
      </c>
      <c r="E249" s="41">
        <v>45</v>
      </c>
      <c r="F249" s="42">
        <v>143</v>
      </c>
      <c r="G249" s="35">
        <v>116</v>
      </c>
      <c r="H249" s="41">
        <v>30658</v>
      </c>
      <c r="I249" s="37">
        <v>22</v>
      </c>
      <c r="J249" s="38">
        <v>1.3934130803028258E-2</v>
      </c>
      <c r="K249" s="146">
        <v>1096</v>
      </c>
      <c r="L249" s="147">
        <v>6</v>
      </c>
      <c r="M249" s="38">
        <v>4.8717606792016713E-2</v>
      </c>
      <c r="O249" s="148">
        <v>1666.8233928312293</v>
      </c>
      <c r="P249" s="146">
        <v>570.82339283122906</v>
      </c>
      <c r="Q249" s="147">
        <v>37.040519840693982</v>
      </c>
      <c r="R249" s="147">
        <v>11.656107642176428</v>
      </c>
      <c r="S249" s="147">
        <v>14.369167179579563</v>
      </c>
      <c r="T249" s="149">
        <v>3.8853692140588092</v>
      </c>
      <c r="V249" s="41">
        <v>9</v>
      </c>
      <c r="W249" s="37">
        <v>21</v>
      </c>
      <c r="X249" s="37">
        <v>44</v>
      </c>
      <c r="Y249" s="42">
        <v>45</v>
      </c>
      <c r="Z249" s="41">
        <v>24</v>
      </c>
      <c r="AA249" s="37">
        <v>59</v>
      </c>
      <c r="AB249" s="37">
        <v>131</v>
      </c>
      <c r="AC249" s="42">
        <v>143</v>
      </c>
      <c r="AD249" s="141"/>
    </row>
    <row r="250" spans="2:30" x14ac:dyDescent="0.3">
      <c r="B250" s="141"/>
      <c r="C250" s="248"/>
      <c r="D250" s="43" t="s">
        <v>148</v>
      </c>
      <c r="E250" s="52">
        <v>187</v>
      </c>
      <c r="F250" s="53">
        <v>630</v>
      </c>
      <c r="G250" s="46">
        <v>354</v>
      </c>
      <c r="H250" s="52">
        <v>84607</v>
      </c>
      <c r="I250" s="48">
        <v>11</v>
      </c>
      <c r="J250" s="49">
        <v>3.8454074135684385E-2</v>
      </c>
      <c r="K250" s="150">
        <v>7071</v>
      </c>
      <c r="L250" s="151">
        <v>5</v>
      </c>
      <c r="M250" s="49">
        <v>0.10424744578277728</v>
      </c>
      <c r="O250" s="152">
        <v>10753.748367435786</v>
      </c>
      <c r="P250" s="150">
        <v>3682.7483674357854</v>
      </c>
      <c r="Q250" s="151">
        <v>57.506675761688697</v>
      </c>
      <c r="R250" s="151">
        <v>17.069441853072675</v>
      </c>
      <c r="S250" s="151">
        <v>30.377820246993746</v>
      </c>
      <c r="T250" s="153">
        <v>5.6898139510242247</v>
      </c>
      <c r="V250" s="52">
        <v>31</v>
      </c>
      <c r="W250" s="48">
        <v>78</v>
      </c>
      <c r="X250" s="48">
        <v>171</v>
      </c>
      <c r="Y250" s="53">
        <v>187</v>
      </c>
      <c r="Z250" s="52">
        <v>99</v>
      </c>
      <c r="AA250" s="48">
        <v>256</v>
      </c>
      <c r="AB250" s="48">
        <v>572</v>
      </c>
      <c r="AC250" s="53">
        <v>630</v>
      </c>
      <c r="AD250" s="141"/>
    </row>
    <row r="251" spans="2:30" s="65" customFormat="1" x14ac:dyDescent="0.3">
      <c r="B251" s="54"/>
      <c r="C251" s="251"/>
      <c r="D251" s="75" t="s">
        <v>27</v>
      </c>
      <c r="E251" s="69">
        <v>421</v>
      </c>
      <c r="F251" s="71">
        <v>1863</v>
      </c>
      <c r="G251" s="154">
        <v>1177</v>
      </c>
      <c r="H251" s="69">
        <v>296168</v>
      </c>
      <c r="I251" s="70">
        <v>6</v>
      </c>
      <c r="J251" s="84">
        <v>0.1346090303239374</v>
      </c>
      <c r="K251" s="82">
        <v>34455</v>
      </c>
      <c r="L251" s="155">
        <v>1</v>
      </c>
      <c r="M251" s="84">
        <v>0.14884269459060159</v>
      </c>
      <c r="O251" s="85">
        <v>52400</v>
      </c>
      <c r="P251" s="82">
        <v>17945</v>
      </c>
      <c r="Q251" s="155">
        <v>124.46555819477435</v>
      </c>
      <c r="R251" s="155">
        <v>28.126677402039721</v>
      </c>
      <c r="S251" s="155">
        <v>44.519966015293122</v>
      </c>
      <c r="T251" s="156">
        <v>9.3755591340132405</v>
      </c>
      <c r="V251" s="69">
        <v>72</v>
      </c>
      <c r="W251" s="70">
        <v>177</v>
      </c>
      <c r="X251" s="70">
        <v>390</v>
      </c>
      <c r="Y251" s="71">
        <v>421</v>
      </c>
      <c r="Z251" s="69">
        <v>290</v>
      </c>
      <c r="AA251" s="70">
        <v>754</v>
      </c>
      <c r="AB251" s="70">
        <v>1688</v>
      </c>
      <c r="AC251" s="71">
        <v>1863</v>
      </c>
      <c r="AD251" s="54"/>
    </row>
    <row r="252" spans="2:30" x14ac:dyDescent="0.3">
      <c r="B252" s="141"/>
      <c r="C252" s="247" t="s">
        <v>242</v>
      </c>
      <c r="D252" s="87" t="s">
        <v>158</v>
      </c>
      <c r="E252" s="72">
        <v>45</v>
      </c>
      <c r="F252" s="74">
        <v>118</v>
      </c>
      <c r="G252" s="90">
        <v>162</v>
      </c>
      <c r="H252" s="72">
        <v>41882</v>
      </c>
      <c r="I252" s="73">
        <v>18</v>
      </c>
      <c r="J252" s="92">
        <v>1.9035464358158703E-2</v>
      </c>
      <c r="K252" s="157">
        <v>2582</v>
      </c>
      <c r="L252" s="158">
        <v>8</v>
      </c>
      <c r="M252" s="92">
        <v>7.8413508260447032E-2</v>
      </c>
      <c r="O252" s="159">
        <v>6274.4594275329382</v>
      </c>
      <c r="P252" s="157">
        <v>3692.4594275329396</v>
      </c>
      <c r="Q252" s="158">
        <v>139.43243172295419</v>
      </c>
      <c r="R252" s="158">
        <v>53.173384979092695</v>
      </c>
      <c r="S252" s="158">
        <v>38.731231034153943</v>
      </c>
      <c r="T252" s="160">
        <v>17.724461659697564</v>
      </c>
      <c r="V252" s="72">
        <v>11</v>
      </c>
      <c r="W252" s="73">
        <v>22</v>
      </c>
      <c r="X252" s="73">
        <v>45</v>
      </c>
      <c r="Y252" s="74">
        <v>45</v>
      </c>
      <c r="Z252" s="72">
        <v>22</v>
      </c>
      <c r="AA252" s="73">
        <v>50</v>
      </c>
      <c r="AB252" s="73">
        <v>109</v>
      </c>
      <c r="AC252" s="74">
        <v>118</v>
      </c>
      <c r="AD252" s="141"/>
    </row>
    <row r="253" spans="2:30" s="65" customFormat="1" x14ac:dyDescent="0.3">
      <c r="B253" s="54"/>
      <c r="C253" s="248"/>
      <c r="D253" s="32" t="s">
        <v>167</v>
      </c>
      <c r="E253" s="41">
        <v>67</v>
      </c>
      <c r="F253" s="42">
        <v>283</v>
      </c>
      <c r="G253" s="35">
        <v>347</v>
      </c>
      <c r="H253" s="41">
        <v>88826</v>
      </c>
      <c r="I253" s="37">
        <v>10</v>
      </c>
      <c r="J253" s="38">
        <v>4.0371619241626591E-2</v>
      </c>
      <c r="K253" s="146">
        <v>8285</v>
      </c>
      <c r="L253" s="147">
        <v>3</v>
      </c>
      <c r="M253" s="38">
        <v>0.12002201973083776</v>
      </c>
      <c r="N253"/>
      <c r="O253" s="148">
        <v>20133.189913675604</v>
      </c>
      <c r="P253" s="146">
        <v>11848.189913675602</v>
      </c>
      <c r="Q253" s="147">
        <v>300.49537184590451</v>
      </c>
      <c r="R253" s="147">
        <v>71.142013829242416</v>
      </c>
      <c r="S253" s="147">
        <v>58.020720212321628</v>
      </c>
      <c r="T253" s="149">
        <v>23.714004609747473</v>
      </c>
      <c r="U253"/>
      <c r="V253" s="41">
        <v>16</v>
      </c>
      <c r="W253" s="37">
        <v>30</v>
      </c>
      <c r="X253" s="37">
        <v>66</v>
      </c>
      <c r="Y253" s="42">
        <v>67</v>
      </c>
      <c r="Z253" s="41">
        <v>46</v>
      </c>
      <c r="AA253" s="37">
        <v>115</v>
      </c>
      <c r="AB253" s="37">
        <v>257</v>
      </c>
      <c r="AC253" s="42">
        <v>283</v>
      </c>
      <c r="AD253" s="54"/>
    </row>
    <row r="254" spans="2:30" x14ac:dyDescent="0.3">
      <c r="B254" s="141"/>
      <c r="C254" s="248"/>
      <c r="D254" s="43" t="s">
        <v>176</v>
      </c>
      <c r="E254" s="52">
        <v>55</v>
      </c>
      <c r="F254" s="53">
        <v>152</v>
      </c>
      <c r="G254" s="46">
        <v>195</v>
      </c>
      <c r="H254" s="52">
        <v>51781</v>
      </c>
      <c r="I254" s="48">
        <v>16</v>
      </c>
      <c r="J254" s="49">
        <v>2.3534582396490516E-2</v>
      </c>
      <c r="K254" s="150">
        <v>4628</v>
      </c>
      <c r="L254" s="151">
        <v>4</v>
      </c>
      <c r="M254" s="49">
        <v>0.11583320818941784</v>
      </c>
      <c r="O254" s="152">
        <v>11246.397455701954</v>
      </c>
      <c r="P254" s="150">
        <v>6618.3974557019537</v>
      </c>
      <c r="Q254" s="151">
        <v>204.47995374003551</v>
      </c>
      <c r="R254" s="151">
        <v>73.989456945407596</v>
      </c>
      <c r="S254" s="151">
        <v>57.673833106163862</v>
      </c>
      <c r="T254" s="153">
        <v>24.663152315135864</v>
      </c>
      <c r="V254" s="52">
        <v>12</v>
      </c>
      <c r="W254" s="48">
        <v>25</v>
      </c>
      <c r="X254" s="48">
        <v>54</v>
      </c>
      <c r="Y254" s="53">
        <v>55</v>
      </c>
      <c r="Z254" s="52">
        <v>26</v>
      </c>
      <c r="AA254" s="48">
        <v>64</v>
      </c>
      <c r="AB254" s="48">
        <v>140</v>
      </c>
      <c r="AC254" s="53">
        <v>152</v>
      </c>
      <c r="AD254" s="141"/>
    </row>
    <row r="255" spans="2:30" x14ac:dyDescent="0.3">
      <c r="B255" s="141"/>
      <c r="C255" s="248"/>
      <c r="D255" s="32" t="s">
        <v>184</v>
      </c>
      <c r="E255" s="41">
        <v>81</v>
      </c>
      <c r="F255" s="42">
        <v>207</v>
      </c>
      <c r="G255" s="35">
        <v>293</v>
      </c>
      <c r="H255" s="41">
        <v>77264</v>
      </c>
      <c r="I255" s="37">
        <v>12</v>
      </c>
      <c r="J255" s="38">
        <v>3.5116663916927894E-2</v>
      </c>
      <c r="K255" s="146">
        <v>3733</v>
      </c>
      <c r="L255" s="147">
        <v>8</v>
      </c>
      <c r="M255" s="38">
        <v>5.8987121750809828E-2</v>
      </c>
      <c r="O255" s="148">
        <v>9071.4783280327138</v>
      </c>
      <c r="P255" s="146">
        <v>5338.4783280327119</v>
      </c>
      <c r="Q255" s="147">
        <v>111.99355960534214</v>
      </c>
      <c r="R255" s="147">
        <v>43.823566802090404</v>
      </c>
      <c r="S255" s="147">
        <v>30.960676887483665</v>
      </c>
      <c r="T255" s="149">
        <v>14.607855600696801</v>
      </c>
      <c r="V255" s="41">
        <v>17</v>
      </c>
      <c r="W255" s="37">
        <v>38</v>
      </c>
      <c r="X255" s="37">
        <v>80</v>
      </c>
      <c r="Y255" s="42">
        <v>81</v>
      </c>
      <c r="Z255" s="41">
        <v>37</v>
      </c>
      <c r="AA255" s="37">
        <v>87</v>
      </c>
      <c r="AB255" s="37">
        <v>192</v>
      </c>
      <c r="AC255" s="42">
        <v>207</v>
      </c>
      <c r="AD255" s="141"/>
    </row>
    <row r="256" spans="2:30" x14ac:dyDescent="0.3">
      <c r="B256" s="141"/>
      <c r="C256" s="248"/>
      <c r="D256" s="43" t="s">
        <v>198</v>
      </c>
      <c r="E256" s="52">
        <v>42</v>
      </c>
      <c r="F256" s="53">
        <v>109</v>
      </c>
      <c r="G256" s="46">
        <v>150</v>
      </c>
      <c r="H256" s="52">
        <v>39204</v>
      </c>
      <c r="I256" s="48">
        <v>19</v>
      </c>
      <c r="J256" s="49">
        <v>1.7818307260810223E-2</v>
      </c>
      <c r="K256" s="150">
        <v>2782</v>
      </c>
      <c r="L256" s="151">
        <v>4</v>
      </c>
      <c r="M256" s="49">
        <v>9.1842461457198502E-2</v>
      </c>
      <c r="O256" s="152">
        <v>6760.4748750567924</v>
      </c>
      <c r="P256" s="150">
        <v>3978.4748750567924</v>
      </c>
      <c r="Q256" s="151">
        <v>160.96368750135221</v>
      </c>
      <c r="R256" s="151">
        <v>62.02270527575039</v>
      </c>
      <c r="S256" s="151">
        <v>45.069832500378617</v>
      </c>
      <c r="T256" s="153">
        <v>20.674235091916795</v>
      </c>
      <c r="V256" s="52">
        <v>9</v>
      </c>
      <c r="W256" s="48">
        <v>21</v>
      </c>
      <c r="X256" s="48">
        <v>42</v>
      </c>
      <c r="Y256" s="53">
        <v>42</v>
      </c>
      <c r="Z256" s="52">
        <v>21</v>
      </c>
      <c r="AA256" s="48">
        <v>47</v>
      </c>
      <c r="AB256" s="48">
        <v>102</v>
      </c>
      <c r="AC256" s="53">
        <v>109</v>
      </c>
      <c r="AD256" s="141"/>
    </row>
    <row r="257" spans="2:30" x14ac:dyDescent="0.3">
      <c r="B257" s="141"/>
      <c r="C257" s="249"/>
      <c r="D257" s="55" t="s">
        <v>27</v>
      </c>
      <c r="E257" s="86">
        <v>290</v>
      </c>
      <c r="F257" s="68">
        <v>869</v>
      </c>
      <c r="G257" s="161">
        <v>1147</v>
      </c>
      <c r="H257" s="86">
        <v>298957</v>
      </c>
      <c r="I257" s="67">
        <v>5</v>
      </c>
      <c r="J257" s="64">
        <v>0.13587663717401394</v>
      </c>
      <c r="K257" s="62">
        <v>22010</v>
      </c>
      <c r="L257" s="162">
        <v>4</v>
      </c>
      <c r="M257" s="64">
        <v>9.3465881343768445E-2</v>
      </c>
      <c r="N257" s="65"/>
      <c r="O257" s="66">
        <v>53486</v>
      </c>
      <c r="P257" s="62">
        <v>31476</v>
      </c>
      <c r="Q257" s="162">
        <v>184.4344827586207</v>
      </c>
      <c r="R257" s="162">
        <v>61.548906789413117</v>
      </c>
      <c r="S257" s="162">
        <v>46.631211857018307</v>
      </c>
      <c r="T257" s="163">
        <v>20.516302263137707</v>
      </c>
      <c r="U257" s="65"/>
      <c r="V257" s="86">
        <v>65</v>
      </c>
      <c r="W257" s="67">
        <v>136</v>
      </c>
      <c r="X257" s="67">
        <v>287</v>
      </c>
      <c r="Y257" s="68">
        <v>290</v>
      </c>
      <c r="Z257" s="86">
        <v>152</v>
      </c>
      <c r="AA257" s="67">
        <v>363</v>
      </c>
      <c r="AB257" s="67">
        <v>800</v>
      </c>
      <c r="AC257" s="68">
        <v>869</v>
      </c>
      <c r="AD257" s="141"/>
    </row>
    <row r="258" spans="2:30" s="65" customFormat="1" x14ac:dyDescent="0.3">
      <c r="B258" s="54"/>
      <c r="C258" s="250" t="s">
        <v>243</v>
      </c>
      <c r="D258" s="21" t="s">
        <v>206</v>
      </c>
      <c r="E258" s="30">
        <v>87</v>
      </c>
      <c r="F258" s="31">
        <v>377</v>
      </c>
      <c r="G258" s="24">
        <v>426</v>
      </c>
      <c r="H258" s="30">
        <v>112548</v>
      </c>
      <c r="I258" s="26">
        <v>7</v>
      </c>
      <c r="J258" s="27">
        <v>5.1153322252567822E-2</v>
      </c>
      <c r="K258" s="142">
        <v>8998</v>
      </c>
      <c r="L258" s="143">
        <v>3</v>
      </c>
      <c r="M258" s="27">
        <v>0.10173669214418163</v>
      </c>
      <c r="N258"/>
      <c r="O258" s="144">
        <v>11816.515149622042</v>
      </c>
      <c r="P258" s="142">
        <v>2818.5151496220406</v>
      </c>
      <c r="Q258" s="143">
        <v>135.82201321404645</v>
      </c>
      <c r="R258" s="143">
        <v>31.3435415109338</v>
      </c>
      <c r="S258" s="143">
        <v>27.738298473291181</v>
      </c>
      <c r="T258" s="145">
        <v>10.447847170311267</v>
      </c>
      <c r="U258"/>
      <c r="V258" s="30">
        <v>18</v>
      </c>
      <c r="W258" s="26">
        <v>37</v>
      </c>
      <c r="X258" s="26">
        <v>82</v>
      </c>
      <c r="Y258" s="31">
        <v>87</v>
      </c>
      <c r="Z258" s="30">
        <v>59</v>
      </c>
      <c r="AA258" s="26">
        <v>154</v>
      </c>
      <c r="AB258" s="26">
        <v>343</v>
      </c>
      <c r="AC258" s="31">
        <v>377</v>
      </c>
      <c r="AD258" s="54"/>
    </row>
    <row r="259" spans="2:30" x14ac:dyDescent="0.3">
      <c r="B259" s="141"/>
      <c r="C259" s="248"/>
      <c r="D259" s="32" t="s">
        <v>214</v>
      </c>
      <c r="E259" s="41">
        <v>66</v>
      </c>
      <c r="F259" s="42">
        <v>203</v>
      </c>
      <c r="G259" s="35">
        <v>289</v>
      </c>
      <c r="H259" s="41">
        <v>76931</v>
      </c>
      <c r="I259" s="37">
        <v>13</v>
      </c>
      <c r="J259" s="38">
        <v>3.4965314658743786E-2</v>
      </c>
      <c r="K259" s="146">
        <v>5894</v>
      </c>
      <c r="L259" s="147">
        <v>4</v>
      </c>
      <c r="M259" s="38">
        <v>9.4075209091489503E-2</v>
      </c>
      <c r="O259" s="148">
        <v>7740.224526769538</v>
      </c>
      <c r="P259" s="146">
        <v>1846.224526769538</v>
      </c>
      <c r="Q259" s="147">
        <v>117.27612919347784</v>
      </c>
      <c r="R259" s="147">
        <v>38.129184860933684</v>
      </c>
      <c r="S259" s="147">
        <v>26.782783829652381</v>
      </c>
      <c r="T259" s="149">
        <v>12.709728286977894</v>
      </c>
      <c r="V259" s="41">
        <v>13</v>
      </c>
      <c r="W259" s="37">
        <v>30</v>
      </c>
      <c r="X259" s="37">
        <v>63</v>
      </c>
      <c r="Y259" s="42">
        <v>66</v>
      </c>
      <c r="Z259" s="41">
        <v>33</v>
      </c>
      <c r="AA259" s="37">
        <v>83</v>
      </c>
      <c r="AB259" s="37">
        <v>185</v>
      </c>
      <c r="AC259" s="42">
        <v>203</v>
      </c>
      <c r="AD259" s="141"/>
    </row>
    <row r="260" spans="2:30" x14ac:dyDescent="0.3">
      <c r="B260" s="141"/>
      <c r="C260" s="248"/>
      <c r="D260" s="43" t="s">
        <v>223</v>
      </c>
      <c r="E260" s="52">
        <v>125</v>
      </c>
      <c r="F260" s="53">
        <v>442</v>
      </c>
      <c r="G260" s="46">
        <v>604</v>
      </c>
      <c r="H260" s="52">
        <v>152896</v>
      </c>
      <c r="I260" s="48">
        <v>4</v>
      </c>
      <c r="J260" s="49">
        <v>6.9491580118070606E-2</v>
      </c>
      <c r="K260" s="150">
        <v>17122</v>
      </c>
      <c r="L260" s="151">
        <v>2</v>
      </c>
      <c r="M260" s="49">
        <v>0.1391783583424103</v>
      </c>
      <c r="O260" s="152">
        <v>22485.260323608421</v>
      </c>
      <c r="P260" s="150">
        <v>5363.2603236084224</v>
      </c>
      <c r="Q260" s="151">
        <v>179.88208258886738</v>
      </c>
      <c r="R260" s="151">
        <v>50.871629691421766</v>
      </c>
      <c r="S260" s="151">
        <v>37.227252191404673</v>
      </c>
      <c r="T260" s="153">
        <v>16.95720989714059</v>
      </c>
      <c r="V260" s="52">
        <v>23</v>
      </c>
      <c r="W260" s="48">
        <v>54</v>
      </c>
      <c r="X260" s="48">
        <v>117</v>
      </c>
      <c r="Y260" s="53">
        <v>125</v>
      </c>
      <c r="Z260" s="52">
        <v>72</v>
      </c>
      <c r="AA260" s="48">
        <v>182</v>
      </c>
      <c r="AB260" s="48">
        <v>402</v>
      </c>
      <c r="AC260" s="53">
        <v>442</v>
      </c>
      <c r="AD260" s="141"/>
    </row>
    <row r="261" spans="2:30" x14ac:dyDescent="0.3">
      <c r="B261" s="141"/>
      <c r="C261" s="251"/>
      <c r="D261" s="75" t="s">
        <v>27</v>
      </c>
      <c r="E261" s="69">
        <v>278</v>
      </c>
      <c r="F261" s="71">
        <v>1022</v>
      </c>
      <c r="G261" s="154">
        <v>1319</v>
      </c>
      <c r="H261" s="69">
        <v>342375</v>
      </c>
      <c r="I261" s="70">
        <v>2</v>
      </c>
      <c r="J261" s="84">
        <v>0.15561021702938221</v>
      </c>
      <c r="K261" s="82">
        <v>32014</v>
      </c>
      <c r="L261" s="155">
        <v>4</v>
      </c>
      <c r="M261" s="84">
        <v>0.11678912001400857</v>
      </c>
      <c r="N261" s="65"/>
      <c r="O261" s="85">
        <v>42042</v>
      </c>
      <c r="P261" s="82">
        <v>10028</v>
      </c>
      <c r="Q261" s="155">
        <v>151.23021582733813</v>
      </c>
      <c r="R261" s="155">
        <v>41.136986301369866</v>
      </c>
      <c r="S261" s="155">
        <v>31.874147081122061</v>
      </c>
      <c r="T261" s="156">
        <v>13.712328767123289</v>
      </c>
      <c r="U261" s="65"/>
      <c r="V261" s="69">
        <v>54</v>
      </c>
      <c r="W261" s="70">
        <v>121</v>
      </c>
      <c r="X261" s="70">
        <v>262</v>
      </c>
      <c r="Y261" s="71">
        <v>278</v>
      </c>
      <c r="Z261" s="69">
        <v>164</v>
      </c>
      <c r="AA261" s="70">
        <v>419</v>
      </c>
      <c r="AB261" s="70">
        <v>930</v>
      </c>
      <c r="AC261" s="71">
        <v>1022</v>
      </c>
      <c r="AD261" s="141"/>
    </row>
    <row r="262" spans="2:30" s="65" customFormat="1" x14ac:dyDescent="0.3">
      <c r="B262" s="54"/>
      <c r="C262" s="256" t="s">
        <v>244</v>
      </c>
      <c r="D262" s="257"/>
      <c r="E262" s="174">
        <v>2231</v>
      </c>
      <c r="F262" s="139">
        <v>9495</v>
      </c>
      <c r="G262" s="175">
        <v>8417</v>
      </c>
      <c r="H262" s="174">
        <v>2200209</v>
      </c>
      <c r="I262" s="138"/>
      <c r="J262" s="176">
        <v>1</v>
      </c>
      <c r="K262" s="134">
        <v>232868</v>
      </c>
      <c r="L262" s="177">
        <v>3</v>
      </c>
      <c r="M262" s="136">
        <v>0.13515671976171073</v>
      </c>
      <c r="N262"/>
      <c r="O262" s="137">
        <v>350000</v>
      </c>
      <c r="P262" s="134">
        <v>117132</v>
      </c>
      <c r="Q262" s="177">
        <v>156.88032272523532</v>
      </c>
      <c r="R262" s="177">
        <v>36.86150605581885</v>
      </c>
      <c r="S262" s="177">
        <v>41.582511583699656</v>
      </c>
      <c r="T262" s="178">
        <v>12.287168685272951</v>
      </c>
      <c r="U262"/>
      <c r="V262" s="174">
        <v>416</v>
      </c>
      <c r="W262" s="138">
        <v>973</v>
      </c>
      <c r="X262" s="138">
        <v>2108</v>
      </c>
      <c r="Y262" s="139">
        <v>2231</v>
      </c>
      <c r="Z262" s="174">
        <v>1512</v>
      </c>
      <c r="AA262" s="138">
        <v>3868</v>
      </c>
      <c r="AB262" s="138">
        <v>8627</v>
      </c>
      <c r="AC262" s="139">
        <v>9495</v>
      </c>
      <c r="AD262" s="54"/>
    </row>
    <row r="263" spans="2:30" x14ac:dyDescent="0.3">
      <c r="B263" s="141"/>
      <c r="E263" s="3"/>
      <c r="F263" s="3"/>
      <c r="G263" s="3"/>
      <c r="H263" s="3"/>
      <c r="I263" s="3"/>
      <c r="J263" s="3"/>
      <c r="AD263" s="141"/>
    </row>
    <row r="264" spans="2:30" x14ac:dyDescent="0.3">
      <c r="B264" s="141"/>
      <c r="E264" s="3"/>
      <c r="F264" s="3"/>
      <c r="G264" s="3"/>
      <c r="H264" s="3"/>
      <c r="I264" s="3"/>
      <c r="J264" s="3"/>
      <c r="AD264" s="141"/>
    </row>
    <row r="265" spans="2:30" ht="30" customHeight="1" x14ac:dyDescent="0.3">
      <c r="B265" s="4"/>
      <c r="D265" s="258" t="s">
        <v>236</v>
      </c>
      <c r="E265" s="215" t="s">
        <v>2</v>
      </c>
      <c r="F265" s="216"/>
      <c r="G265" s="216"/>
      <c r="H265" s="216"/>
      <c r="I265" s="216"/>
      <c r="J265" s="216"/>
      <c r="K265" s="216"/>
      <c r="L265" s="216"/>
      <c r="M265" s="217"/>
      <c r="O265" s="221" t="s">
        <v>3</v>
      </c>
      <c r="P265" s="222"/>
      <c r="Q265" s="222"/>
      <c r="R265" s="222"/>
      <c r="S265" s="222"/>
      <c r="T265" s="223"/>
      <c r="V265" s="227" t="s">
        <v>4</v>
      </c>
      <c r="W265" s="228"/>
      <c r="X265" s="228"/>
      <c r="Y265" s="228"/>
      <c r="Z265" s="228"/>
      <c r="AA265" s="228"/>
      <c r="AB265" s="228"/>
      <c r="AC265" s="229"/>
      <c r="AD265" s="4"/>
    </row>
    <row r="266" spans="2:30" ht="14.4" customHeight="1" x14ac:dyDescent="0.3">
      <c r="B266" s="5"/>
      <c r="C266" s="261"/>
      <c r="D266" s="259"/>
      <c r="E266" s="218"/>
      <c r="F266" s="219"/>
      <c r="G266" s="219"/>
      <c r="H266" s="219"/>
      <c r="I266" s="219"/>
      <c r="J266" s="219"/>
      <c r="K266" s="219"/>
      <c r="L266" s="219"/>
      <c r="M266" s="220"/>
      <c r="O266" s="224"/>
      <c r="P266" s="225"/>
      <c r="Q266" s="225"/>
      <c r="R266" s="225"/>
      <c r="S266" s="225"/>
      <c r="T266" s="226"/>
      <c r="V266" s="230" t="s">
        <v>5</v>
      </c>
      <c r="W266" s="231"/>
      <c r="X266" s="231"/>
      <c r="Y266" s="232"/>
      <c r="Z266" s="230" t="s">
        <v>6</v>
      </c>
      <c r="AA266" s="231"/>
      <c r="AB266" s="231"/>
      <c r="AC266" s="232"/>
      <c r="AD266" s="5"/>
    </row>
    <row r="267" spans="2:30" ht="14.4" customHeight="1" x14ac:dyDescent="0.3">
      <c r="B267" s="5"/>
      <c r="C267" s="261"/>
      <c r="D267" s="259"/>
      <c r="E267" s="233" t="s">
        <v>7</v>
      </c>
      <c r="F267" s="234"/>
      <c r="G267" s="235" t="s">
        <v>8</v>
      </c>
      <c r="H267" s="237" t="s">
        <v>9</v>
      </c>
      <c r="I267" s="238"/>
      <c r="J267" s="239"/>
      <c r="K267" s="240" t="s">
        <v>10</v>
      </c>
      <c r="L267" s="241"/>
      <c r="M267" s="242"/>
      <c r="O267" s="243" t="s">
        <v>11</v>
      </c>
      <c r="P267" s="244"/>
      <c r="Q267" s="245" t="s">
        <v>12</v>
      </c>
      <c r="R267" s="245"/>
      <c r="S267" s="245"/>
      <c r="T267" s="246"/>
      <c r="V267" s="6">
        <v>2026</v>
      </c>
      <c r="W267" s="7">
        <v>2027</v>
      </c>
      <c r="X267" s="7">
        <v>2028</v>
      </c>
      <c r="Y267" s="8">
        <v>2029</v>
      </c>
      <c r="Z267" s="6">
        <v>2026</v>
      </c>
      <c r="AA267" s="7">
        <v>2027</v>
      </c>
      <c r="AB267" s="7">
        <v>2028</v>
      </c>
      <c r="AC267" s="8">
        <v>2029</v>
      </c>
      <c r="AD267" s="5"/>
    </row>
    <row r="268" spans="2:30" x14ac:dyDescent="0.3">
      <c r="B268" s="9"/>
      <c r="C268" s="261"/>
      <c r="D268" s="260"/>
      <c r="E268" s="10" t="s">
        <v>13</v>
      </c>
      <c r="F268" s="11" t="s">
        <v>14</v>
      </c>
      <c r="G268" s="236"/>
      <c r="H268" s="12" t="s">
        <v>15</v>
      </c>
      <c r="I268" s="13" t="s">
        <v>16</v>
      </c>
      <c r="J268" s="14" t="s">
        <v>17</v>
      </c>
      <c r="K268" s="15" t="s">
        <v>18</v>
      </c>
      <c r="L268" s="13" t="s">
        <v>16</v>
      </c>
      <c r="M268" s="14" t="s">
        <v>17</v>
      </c>
      <c r="O268" s="12" t="s">
        <v>18</v>
      </c>
      <c r="P268" s="15" t="s">
        <v>19</v>
      </c>
      <c r="Q268" s="13" t="s">
        <v>13</v>
      </c>
      <c r="R268" s="13" t="s">
        <v>14</v>
      </c>
      <c r="S268" s="13" t="s">
        <v>8</v>
      </c>
      <c r="T268" s="16" t="s">
        <v>20</v>
      </c>
      <c r="V268" s="17">
        <v>0.15</v>
      </c>
      <c r="W268" s="18">
        <v>0.4</v>
      </c>
      <c r="X268" s="18">
        <v>0.9</v>
      </c>
      <c r="Y268" s="19">
        <v>1</v>
      </c>
      <c r="Z268" s="17">
        <v>0.15</v>
      </c>
      <c r="AA268" s="18">
        <v>0.4</v>
      </c>
      <c r="AB268" s="18">
        <v>0.9</v>
      </c>
      <c r="AC268" s="19">
        <v>1</v>
      </c>
      <c r="AD268" s="9"/>
    </row>
    <row r="269" spans="2:30" x14ac:dyDescent="0.3">
      <c r="B269" s="141"/>
      <c r="C269" s="141"/>
      <c r="D269" s="192" t="s">
        <v>237</v>
      </c>
      <c r="E269" s="30">
        <v>418</v>
      </c>
      <c r="F269" s="31">
        <v>1573</v>
      </c>
      <c r="G269" s="24">
        <v>1334</v>
      </c>
      <c r="H269" s="30">
        <v>351357</v>
      </c>
      <c r="I269" s="26">
        <v>1</v>
      </c>
      <c r="J269" s="27">
        <v>0.15969255647986169</v>
      </c>
      <c r="K269" s="28">
        <v>33875</v>
      </c>
      <c r="L269" s="26">
        <v>3</v>
      </c>
      <c r="M269" s="27">
        <v>0.12059881092242515</v>
      </c>
      <c r="O269" s="30">
        <v>43008</v>
      </c>
      <c r="P269" s="28">
        <v>9132.9999999999982</v>
      </c>
      <c r="Q269" s="26">
        <v>102.88995215311004</v>
      </c>
      <c r="R269" s="26">
        <v>27.341385886840431</v>
      </c>
      <c r="S269" s="26">
        <v>32.239880059970012</v>
      </c>
      <c r="T269" s="31">
        <v>9.1137952956134765</v>
      </c>
      <c r="V269" s="30">
        <v>78</v>
      </c>
      <c r="W269" s="26">
        <v>184</v>
      </c>
      <c r="X269" s="26">
        <v>398</v>
      </c>
      <c r="Y269" s="31">
        <v>418</v>
      </c>
      <c r="Z269" s="30">
        <v>253</v>
      </c>
      <c r="AA269" s="26">
        <v>643</v>
      </c>
      <c r="AB269" s="26">
        <v>1431</v>
      </c>
      <c r="AC269" s="31">
        <v>1573</v>
      </c>
      <c r="AD269" s="141"/>
    </row>
    <row r="270" spans="2:30" x14ac:dyDescent="0.3">
      <c r="B270" s="141"/>
      <c r="C270" s="141"/>
      <c r="D270" s="193" t="s">
        <v>238</v>
      </c>
      <c r="E270" s="41">
        <v>292</v>
      </c>
      <c r="F270" s="42">
        <v>1351</v>
      </c>
      <c r="G270" s="35">
        <v>1196</v>
      </c>
      <c r="H270" s="41">
        <v>318487</v>
      </c>
      <c r="I270" s="37">
        <v>4</v>
      </c>
      <c r="J270" s="38">
        <v>0.14475306664048734</v>
      </c>
      <c r="K270" s="39">
        <v>38116</v>
      </c>
      <c r="L270" s="37">
        <v>2</v>
      </c>
      <c r="M270" s="38">
        <v>0.15117957830273993</v>
      </c>
      <c r="O270" s="41">
        <v>51651</v>
      </c>
      <c r="P270" s="39">
        <v>13535</v>
      </c>
      <c r="Q270" s="37">
        <v>176.88698630136986</v>
      </c>
      <c r="R270" s="37">
        <v>38.231680236861585</v>
      </c>
      <c r="S270" s="37">
        <v>43.186454849498325</v>
      </c>
      <c r="T270" s="42">
        <v>12.743893412287195</v>
      </c>
      <c r="V270" s="41">
        <v>53</v>
      </c>
      <c r="W270" s="37">
        <v>125</v>
      </c>
      <c r="X270" s="37">
        <v>269</v>
      </c>
      <c r="Y270" s="42">
        <v>292</v>
      </c>
      <c r="Z270" s="41">
        <v>212</v>
      </c>
      <c r="AA270" s="37">
        <v>546</v>
      </c>
      <c r="AB270" s="37">
        <v>1223</v>
      </c>
      <c r="AC270" s="42">
        <v>1351</v>
      </c>
      <c r="AD270" s="141"/>
    </row>
    <row r="271" spans="2:30" x14ac:dyDescent="0.3">
      <c r="B271" s="141"/>
      <c r="C271" s="141"/>
      <c r="D271" s="194" t="s">
        <v>239</v>
      </c>
      <c r="E271" s="52">
        <v>225</v>
      </c>
      <c r="F271" s="53">
        <v>1433</v>
      </c>
      <c r="G271" s="46">
        <v>1222</v>
      </c>
      <c r="H271" s="52">
        <v>322525</v>
      </c>
      <c r="I271" s="48">
        <v>3</v>
      </c>
      <c r="J271" s="49">
        <v>0.14658834683432348</v>
      </c>
      <c r="K271" s="50">
        <v>45768</v>
      </c>
      <c r="L271" s="48">
        <v>1</v>
      </c>
      <c r="M271" s="49">
        <v>0.19070476761919047</v>
      </c>
      <c r="O271" s="52">
        <v>49687</v>
      </c>
      <c r="P271" s="50">
        <v>3919</v>
      </c>
      <c r="Q271" s="48">
        <v>220.83111111111111</v>
      </c>
      <c r="R271" s="48">
        <v>34.673412421493367</v>
      </c>
      <c r="S271" s="48">
        <v>40.660392798690673</v>
      </c>
      <c r="T271" s="53">
        <v>11.557804140497788</v>
      </c>
      <c r="V271" s="52">
        <v>37</v>
      </c>
      <c r="W271" s="48">
        <v>94</v>
      </c>
      <c r="X271" s="48">
        <v>209</v>
      </c>
      <c r="Y271" s="53">
        <v>225</v>
      </c>
      <c r="Z271" s="52">
        <v>219</v>
      </c>
      <c r="AA271" s="48">
        <v>578</v>
      </c>
      <c r="AB271" s="48">
        <v>1295</v>
      </c>
      <c r="AC271" s="53">
        <v>1433</v>
      </c>
      <c r="AD271" s="141"/>
    </row>
    <row r="272" spans="2:30" s="65" customFormat="1" x14ac:dyDescent="0.3">
      <c r="B272" s="54"/>
      <c r="C272" s="141"/>
      <c r="D272" s="193" t="s">
        <v>240</v>
      </c>
      <c r="E272" s="41">
        <v>307</v>
      </c>
      <c r="F272" s="42">
        <v>1384</v>
      </c>
      <c r="G272" s="35">
        <v>1022</v>
      </c>
      <c r="H272" s="41">
        <v>270340</v>
      </c>
      <c r="I272" s="37">
        <v>7</v>
      </c>
      <c r="J272" s="38">
        <v>0.12287014551799397</v>
      </c>
      <c r="K272" s="39">
        <v>26630</v>
      </c>
      <c r="L272" s="37">
        <v>3</v>
      </c>
      <c r="M272" s="38">
        <v>0.12750839123002744</v>
      </c>
      <c r="N272"/>
      <c r="O272" s="41">
        <v>57726</v>
      </c>
      <c r="P272" s="39">
        <v>31096</v>
      </c>
      <c r="Q272" s="37">
        <v>188.03257328990227</v>
      </c>
      <c r="R272" s="37">
        <v>41.709537572254334</v>
      </c>
      <c r="S272" s="37">
        <v>56.483365949119374</v>
      </c>
      <c r="T272" s="42">
        <v>13.903179190751445</v>
      </c>
      <c r="U272"/>
      <c r="V272" s="41">
        <v>57</v>
      </c>
      <c r="W272" s="37">
        <v>136</v>
      </c>
      <c r="X272" s="37">
        <v>293</v>
      </c>
      <c r="Y272" s="42">
        <v>307</v>
      </c>
      <c r="Z272" s="41">
        <v>222</v>
      </c>
      <c r="AA272" s="37">
        <v>565</v>
      </c>
      <c r="AB272" s="37">
        <v>1260</v>
      </c>
      <c r="AC272" s="42">
        <v>1384</v>
      </c>
      <c r="AD272" s="54"/>
    </row>
    <row r="273" spans="2:30" x14ac:dyDescent="0.3">
      <c r="B273" s="54"/>
      <c r="C273" s="141"/>
      <c r="D273" s="194" t="s">
        <v>241</v>
      </c>
      <c r="E273" s="52">
        <v>421</v>
      </c>
      <c r="F273" s="53">
        <v>1863</v>
      </c>
      <c r="G273" s="46">
        <v>1177</v>
      </c>
      <c r="H273" s="52">
        <v>296168</v>
      </c>
      <c r="I273" s="48">
        <v>6</v>
      </c>
      <c r="J273" s="49">
        <v>0.1346090303239374</v>
      </c>
      <c r="K273" s="50">
        <v>34455</v>
      </c>
      <c r="L273" s="48">
        <v>1</v>
      </c>
      <c r="M273" s="49">
        <v>0.14884269459060159</v>
      </c>
      <c r="O273" s="52">
        <v>52400</v>
      </c>
      <c r="P273" s="50">
        <v>17945</v>
      </c>
      <c r="Q273" s="48">
        <v>124.46555819477435</v>
      </c>
      <c r="R273" s="48">
        <v>28.126677402039721</v>
      </c>
      <c r="S273" s="48">
        <v>44.519966015293122</v>
      </c>
      <c r="T273" s="53">
        <v>9.3755591340132405</v>
      </c>
      <c r="V273" s="52">
        <v>72</v>
      </c>
      <c r="W273" s="48">
        <v>177</v>
      </c>
      <c r="X273" s="48">
        <v>390</v>
      </c>
      <c r="Y273" s="53">
        <v>421</v>
      </c>
      <c r="Z273" s="52">
        <v>290</v>
      </c>
      <c r="AA273" s="48">
        <v>754</v>
      </c>
      <c r="AB273" s="48">
        <v>1688</v>
      </c>
      <c r="AC273" s="53">
        <v>1863</v>
      </c>
      <c r="AD273" s="54"/>
    </row>
    <row r="274" spans="2:30" x14ac:dyDescent="0.3">
      <c r="C274" s="141"/>
      <c r="D274" s="193" t="s">
        <v>242</v>
      </c>
      <c r="E274" s="41">
        <v>290</v>
      </c>
      <c r="F274" s="42">
        <v>869</v>
      </c>
      <c r="G274" s="35">
        <v>1147</v>
      </c>
      <c r="H274" s="41">
        <v>298957</v>
      </c>
      <c r="I274" s="37">
        <v>5</v>
      </c>
      <c r="J274" s="38">
        <v>0.13587663717401394</v>
      </c>
      <c r="K274" s="39">
        <v>22010</v>
      </c>
      <c r="L274" s="37">
        <v>4</v>
      </c>
      <c r="M274" s="38">
        <v>9.3465881343768445E-2</v>
      </c>
      <c r="O274" s="41">
        <v>53486</v>
      </c>
      <c r="P274" s="39">
        <v>31476</v>
      </c>
      <c r="Q274" s="37">
        <v>184.4344827586207</v>
      </c>
      <c r="R274" s="37">
        <v>61.548906789413117</v>
      </c>
      <c r="S274" s="37">
        <v>46.631211857018307</v>
      </c>
      <c r="T274" s="42">
        <v>20.516302263137707</v>
      </c>
      <c r="V274" s="41">
        <v>65</v>
      </c>
      <c r="W274" s="37">
        <v>136</v>
      </c>
      <c r="X274" s="37">
        <v>287</v>
      </c>
      <c r="Y274" s="42">
        <v>290</v>
      </c>
      <c r="Z274" s="41">
        <v>152</v>
      </c>
      <c r="AA274" s="37">
        <v>363</v>
      </c>
      <c r="AB274" s="37">
        <v>800</v>
      </c>
      <c r="AC274" s="42">
        <v>869</v>
      </c>
    </row>
    <row r="275" spans="2:30" x14ac:dyDescent="0.3">
      <c r="B275" s="3"/>
      <c r="C275" s="141"/>
      <c r="D275" s="195" t="s">
        <v>243</v>
      </c>
      <c r="E275" s="179">
        <v>278</v>
      </c>
      <c r="F275" s="180">
        <v>1022</v>
      </c>
      <c r="G275" s="181">
        <v>1319</v>
      </c>
      <c r="H275" s="179">
        <v>342375</v>
      </c>
      <c r="I275" s="182">
        <v>2</v>
      </c>
      <c r="J275" s="183">
        <v>0.15561021702938221</v>
      </c>
      <c r="K275" s="184">
        <v>32014</v>
      </c>
      <c r="L275" s="182">
        <v>4</v>
      </c>
      <c r="M275" s="183">
        <v>0.11678912001400857</v>
      </c>
      <c r="O275" s="179">
        <v>42042</v>
      </c>
      <c r="P275" s="184">
        <v>10028</v>
      </c>
      <c r="Q275" s="182">
        <v>151.23021582733813</v>
      </c>
      <c r="R275" s="182">
        <v>41.136986301369866</v>
      </c>
      <c r="S275" s="182">
        <v>31.874147081122061</v>
      </c>
      <c r="T275" s="180">
        <v>13.712328767123289</v>
      </c>
      <c r="V275" s="179">
        <v>54</v>
      </c>
      <c r="W275" s="182">
        <v>121</v>
      </c>
      <c r="X275" s="182">
        <v>262</v>
      </c>
      <c r="Y275" s="180">
        <v>278</v>
      </c>
      <c r="Z275" s="179">
        <v>164</v>
      </c>
      <c r="AA275" s="182">
        <v>419</v>
      </c>
      <c r="AB275" s="182">
        <v>930</v>
      </c>
      <c r="AC275" s="180">
        <v>1022</v>
      </c>
      <c r="AD275" s="3"/>
    </row>
    <row r="276" spans="2:30" x14ac:dyDescent="0.3">
      <c r="C276" s="54"/>
      <c r="D276" s="196" t="s">
        <v>244</v>
      </c>
      <c r="E276" s="185">
        <v>2231</v>
      </c>
      <c r="F276" s="186">
        <v>9495</v>
      </c>
      <c r="G276" s="187">
        <v>8417</v>
      </c>
      <c r="H276" s="185">
        <v>2200209</v>
      </c>
      <c r="I276" s="188"/>
      <c r="J276" s="189">
        <v>1</v>
      </c>
      <c r="K276" s="190">
        <v>232868</v>
      </c>
      <c r="L276" s="188">
        <v>3</v>
      </c>
      <c r="M276" s="191">
        <v>0.13515671976171073</v>
      </c>
      <c r="N276" s="65"/>
      <c r="O276" s="185">
        <v>350000</v>
      </c>
      <c r="P276" s="190">
        <v>117132</v>
      </c>
      <c r="Q276" s="188">
        <v>156.88032272523532</v>
      </c>
      <c r="R276" s="188">
        <v>36.86150605581885</v>
      </c>
      <c r="S276" s="188">
        <v>41.582511583699656</v>
      </c>
      <c r="T276" s="186">
        <v>12.287168685272951</v>
      </c>
      <c r="U276" s="65"/>
      <c r="V276" s="185">
        <v>416</v>
      </c>
      <c r="W276" s="188">
        <v>973</v>
      </c>
      <c r="X276" s="188">
        <v>2108</v>
      </c>
      <c r="Y276" s="186">
        <v>2231</v>
      </c>
      <c r="Z276" s="185">
        <v>1512</v>
      </c>
      <c r="AA276" s="188">
        <v>3868</v>
      </c>
      <c r="AB276" s="188">
        <v>8627</v>
      </c>
      <c r="AC276" s="186">
        <v>9495</v>
      </c>
    </row>
  </sheetData>
  <mergeCells count="86">
    <mergeCell ref="V266:Y266"/>
    <mergeCell ref="E267:F267"/>
    <mergeCell ref="G267:G268"/>
    <mergeCell ref="H267:J267"/>
    <mergeCell ref="K267:M267"/>
    <mergeCell ref="V265:AC265"/>
    <mergeCell ref="Z266:AC266"/>
    <mergeCell ref="O267:P267"/>
    <mergeCell ref="Q267:T267"/>
    <mergeCell ref="C232:C237"/>
    <mergeCell ref="C238:C240"/>
    <mergeCell ref="C241:C242"/>
    <mergeCell ref="C243:C247"/>
    <mergeCell ref="C248:C251"/>
    <mergeCell ref="C252:C257"/>
    <mergeCell ref="C258:C261"/>
    <mergeCell ref="C262:D262"/>
    <mergeCell ref="D265:D268"/>
    <mergeCell ref="E265:M266"/>
    <mergeCell ref="O265:T266"/>
    <mergeCell ref="C266:C268"/>
    <mergeCell ref="Z229:AC229"/>
    <mergeCell ref="E230:F230"/>
    <mergeCell ref="G230:G231"/>
    <mergeCell ref="H230:J230"/>
    <mergeCell ref="K230:M230"/>
    <mergeCell ref="C155:C163"/>
    <mergeCell ref="C164:C171"/>
    <mergeCell ref="V228:AC228"/>
    <mergeCell ref="O230:P230"/>
    <mergeCell ref="Q230:T230"/>
    <mergeCell ref="C186:C193"/>
    <mergeCell ref="C194:D194"/>
    <mergeCell ref="C195:C202"/>
    <mergeCell ref="C203:C211"/>
    <mergeCell ref="C212:C223"/>
    <mergeCell ref="C224:D224"/>
    <mergeCell ref="C228:C231"/>
    <mergeCell ref="D228:D231"/>
    <mergeCell ref="E228:M229"/>
    <mergeCell ref="O228:T229"/>
    <mergeCell ref="V229:Y229"/>
    <mergeCell ref="C119:C128"/>
    <mergeCell ref="C129:C135"/>
    <mergeCell ref="C136:C144"/>
    <mergeCell ref="C145:D145"/>
    <mergeCell ref="C146:C154"/>
    <mergeCell ref="Q6:T6"/>
    <mergeCell ref="C85:C92"/>
    <mergeCell ref="C8:C14"/>
    <mergeCell ref="C15:C22"/>
    <mergeCell ref="C23:C29"/>
    <mergeCell ref="C30:C38"/>
    <mergeCell ref="C39:C50"/>
    <mergeCell ref="C51:D51"/>
    <mergeCell ref="C52:C59"/>
    <mergeCell ref="C60:C71"/>
    <mergeCell ref="C72:D72"/>
    <mergeCell ref="C73:C83"/>
    <mergeCell ref="C84:D84"/>
    <mergeCell ref="E6:F6"/>
    <mergeCell ref="G6:G7"/>
    <mergeCell ref="H6:J6"/>
    <mergeCell ref="K6:M6"/>
    <mergeCell ref="O6:P6"/>
    <mergeCell ref="E4:M5"/>
    <mergeCell ref="O4:T5"/>
    <mergeCell ref="V4:AC4"/>
    <mergeCell ref="V5:Y5"/>
    <mergeCell ref="Z5:AC5"/>
    <mergeCell ref="B119:B145"/>
    <mergeCell ref="B146:B194"/>
    <mergeCell ref="B195:B224"/>
    <mergeCell ref="B225:D225"/>
    <mergeCell ref="B4:B7"/>
    <mergeCell ref="B8:B51"/>
    <mergeCell ref="B52:B72"/>
    <mergeCell ref="B73:B84"/>
    <mergeCell ref="B85:B118"/>
    <mergeCell ref="C4:C7"/>
    <mergeCell ref="D4:D7"/>
    <mergeCell ref="C172:C185"/>
    <mergeCell ref="C93:C100"/>
    <mergeCell ref="C101:C108"/>
    <mergeCell ref="C109:C117"/>
    <mergeCell ref="C118:D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andrie cahyono</dc:creator>
  <cp:lastModifiedBy>andrie cahyono</cp:lastModifiedBy>
  <dcterms:created xsi:type="dcterms:W3CDTF">2026-05-28T00:07:42Z</dcterms:created>
  <dcterms:modified xsi:type="dcterms:W3CDTF">2026-05-29T15:17:22Z</dcterms:modified>
</cp:coreProperties>
</file>